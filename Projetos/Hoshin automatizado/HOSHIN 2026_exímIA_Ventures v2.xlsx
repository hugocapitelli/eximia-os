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comments7.xml" ContentType="application/vnd.openxmlformats-officedocument.spreadsheetml.comments+xml"/>
  <Override PartName="/xl/drawings/drawing8.xml" ContentType="application/vnd.openxmlformats-officedocument.drawing+xml"/>
  <Override PartName="/xl/comments8.xml" ContentType="application/vnd.openxmlformats-officedocument.spreadsheetml.comments+xml"/>
  <Override PartName="/xl/drawings/drawing9.xml" ContentType="application/vnd.openxmlformats-officedocument.drawing+xml"/>
  <Override PartName="/xl/comments9.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comments10.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hugoc\OneDrive\Área de Trabalho\Exím[IA] Ventures Tecnologia LTDA\eximIA.OS\eximIA.OS\Projetos\Hoshin automatizado\"/>
    </mc:Choice>
  </mc:AlternateContent>
  <xr:revisionPtr revIDLastSave="0" documentId="13_ncr:1_{4852EB07-14FC-4EC7-87F8-955970436002}" xr6:coauthVersionLast="47" xr6:coauthVersionMax="47" xr10:uidLastSave="{00000000-0000-0000-0000-000000000000}"/>
  <bookViews>
    <workbookView xWindow="-110" yWindow="-110" windowWidth="19420" windowHeight="10300" tabRatio="603" firstSheet="9" activeTab="9" xr2:uid="{00000000-000D-0000-FFFF-FFFF00000000}"/>
  </bookViews>
  <sheets>
    <sheet name="1.5" sheetId="37" state="hidden" r:id="rId1"/>
    <sheet name="2.4" sheetId="38" state="hidden" r:id="rId2"/>
    <sheet name="2.5" sheetId="39" state="hidden" r:id="rId3"/>
    <sheet name="3.3 (2)" sheetId="49" state="hidden" r:id="rId4"/>
    <sheet name="3.4" sheetId="40" state="hidden" r:id="rId5"/>
    <sheet name="3.5" sheetId="41" state="hidden" r:id="rId6"/>
    <sheet name="5.3" sheetId="34" state="hidden" r:id="rId7"/>
    <sheet name="5.4" sheetId="44" state="hidden" r:id="rId8"/>
    <sheet name="5.5" sheetId="45" state="hidden" r:id="rId9"/>
    <sheet name="HOSHIN 2026_EXIMIA" sheetId="58" r:id="rId10"/>
    <sheet name="LEGENDA" sheetId="35" r:id="rId11"/>
    <sheet name="HOSHIN 2026 (2)" sheetId="55" state="hidden" r:id="rId12"/>
    <sheet name="Supporting Data mid" sheetId="47" state="hidden" r:id="rId13"/>
    <sheet name="Supporting Data old" sheetId="46" state="hidden" r:id="rId14"/>
    <sheet name="Colors" sheetId="48" state="hidden" r:id="rId15"/>
  </sheets>
  <definedNames>
    <definedName name="_xlnm.Print_Area" localSheetId="0">'1.5'!$D$2:$S$39</definedName>
    <definedName name="_xlnm.Print_Area" localSheetId="1">'2.4'!$D$2:$S$39</definedName>
    <definedName name="_xlnm.Print_Area" localSheetId="2">'2.5'!$D$2:$S$39</definedName>
    <definedName name="_xlnm.Print_Area" localSheetId="3">'3.3 (2)'!$D$2:$S$39</definedName>
    <definedName name="_xlnm.Print_Area" localSheetId="4">'3.4'!$D$2:$S$39</definedName>
    <definedName name="_xlnm.Print_Area" localSheetId="5">'3.5'!$D$2:$S$39</definedName>
    <definedName name="_xlnm.Print_Area" localSheetId="6">'5.3'!$D$2:$S$39</definedName>
    <definedName name="_xlnm.Print_Area" localSheetId="7">'5.4'!$D$2:$S$39</definedName>
    <definedName name="_xlnm.Print_Area" localSheetId="8">'5.5'!$D$2:$S$39</definedName>
    <definedName name="_xlnm.Print_Area" localSheetId="11">'HOSHIN 2026 (2)'!$B$2:$X$52</definedName>
    <definedName name="_xlnm.Print_Area" localSheetId="9">'HOSHIN 2026_EXIMIA'!$B$2:$T$49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D4" i="44" l="1"/>
  <c r="D103" i="49"/>
  <c r="K106" i="49" s="1"/>
  <c r="K56" i="49"/>
  <c r="F4" i="49"/>
  <c r="H756" i="49" s="1"/>
  <c r="D4" i="49"/>
  <c r="D106" i="49" s="1"/>
  <c r="H2" i="49"/>
  <c r="F4" i="45"/>
  <c r="H56" i="45" s="1"/>
  <c r="H2" i="45"/>
  <c r="F4" i="44"/>
  <c r="H2" i="44"/>
  <c r="F4" i="34"/>
  <c r="H356" i="34" s="1"/>
  <c r="H2" i="34"/>
  <c r="D103" i="45"/>
  <c r="D153" i="45" s="1"/>
  <c r="K56" i="45"/>
  <c r="D103" i="44"/>
  <c r="D153" i="44" s="1"/>
  <c r="K56" i="44"/>
  <c r="D103" i="34"/>
  <c r="K56" i="34"/>
  <c r="F4" i="41"/>
  <c r="H456" i="41" s="1"/>
  <c r="D4" i="41"/>
  <c r="D206" i="41" s="1"/>
  <c r="D103" i="41"/>
  <c r="D153" i="41" s="1"/>
  <c r="D203" i="41" s="1"/>
  <c r="K56" i="41"/>
  <c r="D103" i="40"/>
  <c r="D153" i="40" s="1"/>
  <c r="K56" i="40"/>
  <c r="F4" i="40"/>
  <c r="H706" i="40" s="1"/>
  <c r="D4" i="40"/>
  <c r="D556" i="40" s="1"/>
  <c r="D103" i="39"/>
  <c r="D153" i="39" s="1"/>
  <c r="K56" i="39"/>
  <c r="F4" i="39"/>
  <c r="H356" i="39" s="1"/>
  <c r="D4" i="39"/>
  <c r="D506" i="39" s="1"/>
  <c r="H2" i="39"/>
  <c r="D103" i="38"/>
  <c r="K106" i="38"/>
  <c r="K56" i="38"/>
  <c r="F4" i="38"/>
  <c r="H506" i="38" s="1"/>
  <c r="D4" i="38"/>
  <c r="D556" i="38" s="1"/>
  <c r="D103" i="37"/>
  <c r="K106" i="37" s="1"/>
  <c r="K56" i="37"/>
  <c r="F4" i="37"/>
  <c r="H206" i="37" s="1"/>
  <c r="D4" i="37"/>
  <c r="D756" i="37" s="1"/>
  <c r="H2" i="37"/>
  <c r="D256" i="41"/>
  <c r="H256" i="40"/>
  <c r="H56" i="44"/>
  <c r="H406" i="44"/>
  <c r="H206" i="44"/>
  <c r="H606" i="44"/>
  <c r="H756" i="44"/>
  <c r="H456" i="40"/>
  <c r="H706" i="44"/>
  <c r="H256" i="44"/>
  <c r="H206" i="38"/>
  <c r="H306" i="37"/>
  <c r="H256" i="37"/>
  <c r="H456" i="44"/>
  <c r="H506" i="44"/>
  <c r="H106" i="44"/>
  <c r="H156" i="44"/>
  <c r="H656" i="44"/>
  <c r="H356" i="44"/>
  <c r="H306" i="44"/>
  <c r="H556" i="44"/>
  <c r="H306" i="40"/>
  <c r="K106" i="34"/>
  <c r="D153" i="34"/>
  <c r="K106" i="45"/>
  <c r="D556" i="49"/>
  <c r="D153" i="49"/>
  <c r="D153" i="38"/>
  <c r="D203" i="38" s="1"/>
  <c r="D203" i="49"/>
  <c r="K206" i="49" s="1"/>
  <c r="K156" i="49"/>
  <c r="D203" i="34"/>
  <c r="K206" i="34" s="1"/>
  <c r="K156" i="34"/>
  <c r="D253" i="34"/>
  <c r="D303" i="34" s="1"/>
  <c r="A7" i="34"/>
  <c r="A9" i="41"/>
  <c r="A9" i="39"/>
  <c r="A7" i="40"/>
  <c r="A9" i="37"/>
  <c r="B7" i="41"/>
  <c r="A7" i="38"/>
  <c r="A9" i="49"/>
  <c r="A7" i="39"/>
  <c r="A7" i="45"/>
  <c r="A7" i="49"/>
  <c r="A7" i="44"/>
  <c r="A9" i="45"/>
  <c r="A7" i="37"/>
  <c r="A9" i="34"/>
  <c r="A9" i="44"/>
  <c r="A9" i="40"/>
  <c r="A9" i="38"/>
  <c r="A7" i="41"/>
  <c r="H506" i="49" l="1"/>
  <c r="D156" i="41"/>
  <c r="H356" i="49"/>
  <c r="D656" i="41"/>
  <c r="D706" i="41"/>
  <c r="H356" i="37"/>
  <c r="H56" i="37"/>
  <c r="H456" i="37"/>
  <c r="H456" i="38"/>
  <c r="K206" i="38"/>
  <c r="D253" i="38"/>
  <c r="K156" i="45"/>
  <c r="D203" i="45"/>
  <c r="D203" i="40"/>
  <c r="K206" i="40" s="1"/>
  <c r="K156" i="40"/>
  <c r="D203" i="39"/>
  <c r="K206" i="39" s="1"/>
  <c r="K156" i="39"/>
  <c r="K156" i="44"/>
  <c r="D203" i="44"/>
  <c r="K106" i="40"/>
  <c r="K156" i="38"/>
  <c r="D253" i="49"/>
  <c r="K106" i="39"/>
  <c r="D556" i="39"/>
  <c r="K106" i="44"/>
  <c r="D306" i="39"/>
  <c r="K106" i="41"/>
  <c r="H106" i="37"/>
  <c r="D153" i="37"/>
  <c r="H106" i="38"/>
  <c r="H606" i="49"/>
  <c r="H656" i="37"/>
  <c r="H156" i="37"/>
  <c r="H656" i="38"/>
  <c r="H256" i="38"/>
  <c r="H706" i="45"/>
  <c r="H756" i="38"/>
  <c r="H256" i="49"/>
  <c r="H606" i="38"/>
  <c r="D706" i="49"/>
  <c r="D256" i="38"/>
  <c r="D456" i="49"/>
  <c r="D206" i="38"/>
  <c r="D506" i="49"/>
  <c r="H56" i="34"/>
  <c r="H256" i="41"/>
  <c r="H606" i="41"/>
  <c r="H656" i="41"/>
  <c r="H556" i="41"/>
  <c r="H206" i="41"/>
  <c r="H106" i="41"/>
  <c r="H56" i="41"/>
  <c r="H756" i="41"/>
  <c r="H406" i="38"/>
  <c r="H356" i="41"/>
  <c r="H606" i="37"/>
  <c r="H506" i="41"/>
  <c r="H506" i="37"/>
  <c r="H306" i="38"/>
  <c r="H306" i="41"/>
  <c r="H706" i="37"/>
  <c r="H356" i="38"/>
  <c r="H756" i="37"/>
  <c r="H56" i="38"/>
  <c r="H256" i="34"/>
  <c r="H406" i="41"/>
  <c r="H306" i="45"/>
  <c r="H706" i="41"/>
  <c r="H156" i="41"/>
  <c r="H106" i="45"/>
  <c r="D256" i="40"/>
  <c r="D706" i="37"/>
  <c r="H406" i="49"/>
  <c r="H306" i="49"/>
  <c r="H556" i="49"/>
  <c r="H706" i="49"/>
  <c r="H106" i="49"/>
  <c r="H156" i="49"/>
  <c r="H656" i="49"/>
  <c r="H456" i="49"/>
  <c r="D56" i="40"/>
  <c r="H206" i="49"/>
  <c r="H56" i="49"/>
  <c r="D756" i="44"/>
  <c r="D406" i="44"/>
  <c r="D706" i="44"/>
  <c r="D556" i="44"/>
  <c r="D506" i="44"/>
  <c r="D106" i="44"/>
  <c r="D356" i="44"/>
  <c r="D656" i="44"/>
  <c r="D456" i="44"/>
  <c r="D306" i="44"/>
  <c r="D606" i="44"/>
  <c r="D56" i="44"/>
  <c r="D256" i="44"/>
  <c r="D156" i="44"/>
  <c r="D206" i="44"/>
  <c r="H106" i="34"/>
  <c r="H306" i="34"/>
  <c r="D56" i="39"/>
  <c r="D606" i="39"/>
  <c r="D456" i="39"/>
  <c r="D256" i="49"/>
  <c r="D656" i="49"/>
  <c r="D306" i="49"/>
  <c r="H156" i="34"/>
  <c r="H406" i="40"/>
  <c r="H106" i="40"/>
  <c r="H656" i="40"/>
  <c r="D356" i="39"/>
  <c r="D156" i="39"/>
  <c r="D206" i="39"/>
  <c r="H406" i="34"/>
  <c r="H56" i="40"/>
  <c r="D4" i="34"/>
  <c r="D756" i="34" s="1"/>
  <c r="D56" i="37"/>
  <c r="H156" i="40"/>
  <c r="H706" i="34"/>
  <c r="H756" i="34"/>
  <c r="D656" i="39"/>
  <c r="D756" i="39"/>
  <c r="D406" i="49"/>
  <c r="D356" i="49"/>
  <c r="D206" i="49"/>
  <c r="D756" i="49"/>
  <c r="H356" i="40"/>
  <c r="H556" i="34"/>
  <c r="D106" i="39"/>
  <c r="D406" i="40"/>
  <c r="D306" i="41"/>
  <c r="D4" i="45"/>
  <c r="D256" i="45" s="1"/>
  <c r="H606" i="34"/>
  <c r="H206" i="34"/>
  <c r="D406" i="39"/>
  <c r="D706" i="39"/>
  <c r="D156" i="49"/>
  <c r="D606" i="49"/>
  <c r="D56" i="49"/>
  <c r="H556" i="40"/>
  <c r="H456" i="34"/>
  <c r="H656" i="34"/>
  <c r="H506" i="40"/>
  <c r="H606" i="40"/>
  <c r="D256" i="39"/>
  <c r="H756" i="40"/>
  <c r="H156" i="38"/>
  <c r="H706" i="38"/>
  <c r="H556" i="38"/>
  <c r="H556" i="37"/>
  <c r="H406" i="37"/>
  <c r="H206" i="40"/>
  <c r="D456" i="41"/>
  <c r="H506" i="34"/>
  <c r="D506" i="38"/>
  <c r="D406" i="38"/>
  <c r="H306" i="39"/>
  <c r="H606" i="39"/>
  <c r="H256" i="45"/>
  <c r="D56" i="38"/>
  <c r="D756" i="40"/>
  <c r="H706" i="39"/>
  <c r="H506" i="39"/>
  <c r="D206" i="37"/>
  <c r="H406" i="45"/>
  <c r="D356" i="40"/>
  <c r="D606" i="38"/>
  <c r="H156" i="45"/>
  <c r="D656" i="40"/>
  <c r="D456" i="38"/>
  <c r="D706" i="40"/>
  <c r="H456" i="45"/>
  <c r="D256" i="37"/>
  <c r="D606" i="41"/>
  <c r="H56" i="39"/>
  <c r="D356" i="38"/>
  <c r="D106" i="38"/>
  <c r="H206" i="45"/>
  <c r="D306" i="40"/>
  <c r="D156" i="37"/>
  <c r="D106" i="40"/>
  <c r="H756" i="39"/>
  <c r="D356" i="37"/>
  <c r="D706" i="38"/>
  <c r="D756" i="38"/>
  <c r="H606" i="45"/>
  <c r="D206" i="40"/>
  <c r="D556" i="37"/>
  <c r="D506" i="40"/>
  <c r="D306" i="38"/>
  <c r="D156" i="40"/>
  <c r="H106" i="39"/>
  <c r="D756" i="41"/>
  <c r="D506" i="37"/>
  <c r="D356" i="41"/>
  <c r="H656" i="39"/>
  <c r="H456" i="39"/>
  <c r="D156" i="38"/>
  <c r="H356" i="45"/>
  <c r="D606" i="40"/>
  <c r="D306" i="37"/>
  <c r="D456" i="40"/>
  <c r="H556" i="39"/>
  <c r="H256" i="39"/>
  <c r="D406" i="37"/>
  <c r="H756" i="45"/>
  <c r="H656" i="45"/>
  <c r="D406" i="41"/>
  <c r="D456" i="37"/>
  <c r="H506" i="45"/>
  <c r="D656" i="38"/>
  <c r="H556" i="45"/>
  <c r="D106" i="37"/>
  <c r="H156" i="39"/>
  <c r="D506" i="41"/>
  <c r="D56" i="41"/>
  <c r="D106" i="41"/>
  <c r="D556" i="41"/>
  <c r="K206" i="41"/>
  <c r="D253" i="41"/>
  <c r="D253" i="39"/>
  <c r="K306" i="34"/>
  <c r="D353" i="34"/>
  <c r="D253" i="40"/>
  <c r="K256" i="34"/>
  <c r="K156" i="41"/>
  <c r="D606" i="37"/>
  <c r="D656" i="37"/>
  <c r="H206" i="39"/>
  <c r="H406" i="39"/>
  <c r="D6" i="44"/>
  <c r="L2" i="49"/>
  <c r="D2" i="49"/>
  <c r="D6" i="49"/>
  <c r="D6" i="37"/>
  <c r="D6" i="39"/>
  <c r="D6" i="45"/>
  <c r="D2" i="45"/>
  <c r="L2" i="45"/>
  <c r="L2" i="34"/>
  <c r="D2" i="34"/>
  <c r="L2" i="39"/>
  <c r="D2" i="39"/>
  <c r="L2" i="38"/>
  <c r="D2" i="38"/>
  <c r="L2" i="40"/>
  <c r="D2" i="40"/>
  <c r="D6" i="34"/>
  <c r="L2" i="44"/>
  <c r="D2" i="44"/>
  <c r="D6" i="40"/>
  <c r="L2" i="41"/>
  <c r="D2" i="41"/>
  <c r="D6" i="41"/>
  <c r="D2" i="37"/>
  <c r="L2" i="37"/>
  <c r="D303" i="49" l="1"/>
  <c r="K256" i="49"/>
  <c r="K156" i="37"/>
  <c r="D203" i="37"/>
  <c r="K206" i="45"/>
  <c r="D253" i="45"/>
  <c r="K206" i="44"/>
  <c r="D253" i="44"/>
  <c r="D303" i="38"/>
  <c r="K256" i="38"/>
  <c r="D56" i="45"/>
  <c r="D406" i="45"/>
  <c r="D56" i="34"/>
  <c r="D156" i="45"/>
  <c r="D656" i="45"/>
  <c r="D456" i="45"/>
  <c r="D606" i="45"/>
  <c r="D106" i="45"/>
  <c r="D306" i="45"/>
  <c r="D706" i="45"/>
  <c r="D506" i="45"/>
  <c r="D206" i="45"/>
  <c r="D356" i="45"/>
  <c r="D556" i="45"/>
  <c r="D756" i="45"/>
  <c r="D256" i="34"/>
  <c r="D356" i="34"/>
  <c r="D656" i="34"/>
  <c r="D606" i="34"/>
  <c r="D106" i="34"/>
  <c r="D706" i="34"/>
  <c r="D556" i="34"/>
  <c r="D306" i="34"/>
  <c r="D156" i="34"/>
  <c r="D406" i="34"/>
  <c r="D206" i="34"/>
  <c r="D456" i="34"/>
  <c r="D506" i="34"/>
  <c r="K256" i="41"/>
  <c r="D303" i="41"/>
  <c r="K256" i="40"/>
  <c r="D303" i="40"/>
  <c r="K256" i="39"/>
  <c r="D303" i="39"/>
  <c r="D403" i="34"/>
  <c r="K356" i="34"/>
  <c r="E8" i="40"/>
  <c r="D204" i="40"/>
  <c r="D304" i="40"/>
  <c r="E38" i="40"/>
  <c r="E24" i="40"/>
  <c r="E34" i="40"/>
  <c r="D254" i="40"/>
  <c r="E18" i="40"/>
  <c r="H254" i="40" s="1"/>
  <c r="E26" i="40"/>
  <c r="E32" i="40"/>
  <c r="D504" i="40"/>
  <c r="E12" i="40"/>
  <c r="H104" i="40" s="1"/>
  <c r="E16" i="40"/>
  <c r="H204" i="40" s="1"/>
  <c r="E28" i="40"/>
  <c r="D604" i="40"/>
  <c r="D404" i="40"/>
  <c r="E30" i="40"/>
  <c r="D104" i="40"/>
  <c r="D654" i="40"/>
  <c r="E20" i="40"/>
  <c r="H304" i="40" s="1"/>
  <c r="E22" i="40"/>
  <c r="E10" i="40"/>
  <c r="H54" i="40" s="1"/>
  <c r="D454" i="40"/>
  <c r="D704" i="40"/>
  <c r="D354" i="40"/>
  <c r="D754" i="40"/>
  <c r="E14" i="40"/>
  <c r="H154" i="40" s="1"/>
  <c r="D554" i="40"/>
  <c r="E36" i="40"/>
  <c r="D54" i="40"/>
  <c r="D154" i="40"/>
  <c r="D304" i="34"/>
  <c r="D604" i="34"/>
  <c r="E18" i="34"/>
  <c r="H254" i="34" s="1"/>
  <c r="E12" i="34"/>
  <c r="H104" i="34" s="1"/>
  <c r="E20" i="34"/>
  <c r="H304" i="34" s="1"/>
  <c r="D404" i="34"/>
  <c r="D504" i="34"/>
  <c r="E14" i="34"/>
  <c r="H154" i="34" s="1"/>
  <c r="E16" i="34"/>
  <c r="H204" i="34" s="1"/>
  <c r="E8" i="34"/>
  <c r="E28" i="34"/>
  <c r="D454" i="34"/>
  <c r="E36" i="34"/>
  <c r="D54" i="34"/>
  <c r="D204" i="34"/>
  <c r="E30" i="34"/>
  <c r="E26" i="34"/>
  <c r="E32" i="34"/>
  <c r="D654" i="34"/>
  <c r="D254" i="34"/>
  <c r="E24" i="34"/>
  <c r="H404" i="34" s="1"/>
  <c r="D154" i="34"/>
  <c r="D554" i="34"/>
  <c r="D704" i="34"/>
  <c r="E10" i="34"/>
  <c r="H54" i="34" s="1"/>
  <c r="D104" i="34"/>
  <c r="D754" i="34"/>
  <c r="D354" i="34"/>
  <c r="E38" i="34"/>
  <c r="E34" i="34"/>
  <c r="E22" i="34"/>
  <c r="H354" i="34" s="1"/>
  <c r="E30" i="41"/>
  <c r="E22" i="41"/>
  <c r="D554" i="41"/>
  <c r="E12" i="41"/>
  <c r="H104" i="41" s="1"/>
  <c r="D54" i="41"/>
  <c r="D154" i="41"/>
  <c r="E36" i="41"/>
  <c r="E34" i="41"/>
  <c r="D704" i="41"/>
  <c r="E18" i="41"/>
  <c r="H254" i="41" s="1"/>
  <c r="E14" i="41"/>
  <c r="H154" i="41" s="1"/>
  <c r="D254" i="41"/>
  <c r="D104" i="41"/>
  <c r="E20" i="41"/>
  <c r="H304" i="41" s="1"/>
  <c r="E8" i="41"/>
  <c r="D504" i="41"/>
  <c r="E10" i="41"/>
  <c r="H54" i="41" s="1"/>
  <c r="D454" i="41"/>
  <c r="D754" i="41"/>
  <c r="E32" i="41"/>
  <c r="E26" i="41"/>
  <c r="D354" i="41"/>
  <c r="D304" i="41"/>
  <c r="D654" i="41"/>
  <c r="E28" i="41"/>
  <c r="D404" i="41"/>
  <c r="D604" i="41"/>
  <c r="E24" i="41"/>
  <c r="E16" i="41"/>
  <c r="H204" i="41" s="1"/>
  <c r="D204" i="41"/>
  <c r="E38" i="41"/>
  <c r="E26" i="37"/>
  <c r="E22" i="37"/>
  <c r="D754" i="37"/>
  <c r="D604" i="37"/>
  <c r="D704" i="37"/>
  <c r="D304" i="37"/>
  <c r="E10" i="37"/>
  <c r="H54" i="37" s="1"/>
  <c r="E32" i="37"/>
  <c r="E12" i="37"/>
  <c r="H104" i="37" s="1"/>
  <c r="E30" i="37"/>
  <c r="E24" i="37"/>
  <c r="D154" i="37"/>
  <c r="E18" i="37"/>
  <c r="D204" i="37"/>
  <c r="E28" i="37"/>
  <c r="E34" i="37"/>
  <c r="D654" i="37"/>
  <c r="D554" i="37"/>
  <c r="E16" i="37"/>
  <c r="D104" i="37"/>
  <c r="E14" i="37"/>
  <c r="H154" i="37" s="1"/>
  <c r="D504" i="37"/>
  <c r="E38" i="37"/>
  <c r="D254" i="37"/>
  <c r="D404" i="37"/>
  <c r="E8" i="37"/>
  <c r="E36" i="37"/>
  <c r="D54" i="37"/>
  <c r="E20" i="37"/>
  <c r="D454" i="37"/>
  <c r="D354" i="37"/>
  <c r="E34" i="39"/>
  <c r="D254" i="39"/>
  <c r="D404" i="39"/>
  <c r="D204" i="39"/>
  <c r="E10" i="39"/>
  <c r="H54" i="39" s="1"/>
  <c r="D354" i="39"/>
  <c r="E38" i="39"/>
  <c r="D454" i="39"/>
  <c r="D104" i="39"/>
  <c r="E26" i="39"/>
  <c r="D654" i="39"/>
  <c r="E8" i="39"/>
  <c r="D304" i="39"/>
  <c r="D704" i="39"/>
  <c r="E30" i="39"/>
  <c r="D504" i="39"/>
  <c r="D54" i="39"/>
  <c r="E16" i="39"/>
  <c r="H204" i="39" s="1"/>
  <c r="E20" i="39"/>
  <c r="D604" i="39"/>
  <c r="D754" i="39"/>
  <c r="D154" i="39"/>
  <c r="E24" i="39"/>
  <c r="E18" i="39"/>
  <c r="H254" i="39" s="1"/>
  <c r="E12" i="39"/>
  <c r="H104" i="39" s="1"/>
  <c r="E36" i="39"/>
  <c r="E14" i="39"/>
  <c r="H154" i="39" s="1"/>
  <c r="E28" i="39"/>
  <c r="E32" i="39"/>
  <c r="E22" i="39"/>
  <c r="D554" i="39"/>
  <c r="D554" i="45"/>
  <c r="E12" i="45"/>
  <c r="H104" i="45" s="1"/>
  <c r="E26" i="45"/>
  <c r="E36" i="45"/>
  <c r="E10" i="45"/>
  <c r="H54" i="45" s="1"/>
  <c r="D504" i="45"/>
  <c r="E16" i="45"/>
  <c r="H204" i="45" s="1"/>
  <c r="E18" i="45"/>
  <c r="H254" i="45" s="1"/>
  <c r="D254" i="45"/>
  <c r="D604" i="45"/>
  <c r="D404" i="45"/>
  <c r="E24" i="45"/>
  <c r="D304" i="45"/>
  <c r="D654" i="45"/>
  <c r="E14" i="45"/>
  <c r="H154" i="45" s="1"/>
  <c r="E20" i="45"/>
  <c r="E28" i="45"/>
  <c r="E30" i="45"/>
  <c r="E32" i="45"/>
  <c r="E22" i="45"/>
  <c r="E8" i="45"/>
  <c r="E38" i="45"/>
  <c r="D154" i="45"/>
  <c r="D354" i="45"/>
  <c r="D704" i="45"/>
  <c r="D104" i="45"/>
  <c r="E34" i="45"/>
  <c r="D54" i="45"/>
  <c r="D454" i="45"/>
  <c r="D754" i="45"/>
  <c r="D204" i="45"/>
  <c r="E24" i="44"/>
  <c r="D104" i="44"/>
  <c r="D54" i="44"/>
  <c r="D454" i="44"/>
  <c r="E32" i="44"/>
  <c r="E38" i="44"/>
  <c r="D354" i="44"/>
  <c r="E34" i="44"/>
  <c r="D754" i="44"/>
  <c r="D204" i="44"/>
  <c r="D154" i="44"/>
  <c r="E20" i="44"/>
  <c r="E10" i="44"/>
  <c r="H54" i="44" s="1"/>
  <c r="E30" i="44"/>
  <c r="D604" i="44"/>
  <c r="D504" i="44"/>
  <c r="D704" i="44"/>
  <c r="E8" i="44"/>
  <c r="D304" i="44"/>
  <c r="E18" i="44"/>
  <c r="D404" i="44"/>
  <c r="D654" i="44"/>
  <c r="E22" i="44"/>
  <c r="E14" i="44"/>
  <c r="H154" i="44" s="1"/>
  <c r="E26" i="44"/>
  <c r="D254" i="44"/>
  <c r="E12" i="44"/>
  <c r="H104" i="44" s="1"/>
  <c r="E28" i="44"/>
  <c r="E16" i="44"/>
  <c r="H204" i="44" s="1"/>
  <c r="E36" i="44"/>
  <c r="D554" i="44"/>
  <c r="D304" i="38"/>
  <c r="E14" i="38"/>
  <c r="H154" i="38" s="1"/>
  <c r="E28" i="38"/>
  <c r="E26" i="38"/>
  <c r="E18" i="38"/>
  <c r="H254" i="38" s="1"/>
  <c r="E38" i="38"/>
  <c r="D404" i="38"/>
  <c r="E36" i="38"/>
  <c r="D254" i="38"/>
  <c r="D154" i="38"/>
  <c r="D604" i="38"/>
  <c r="D204" i="38"/>
  <c r="D54" i="38"/>
  <c r="D754" i="38"/>
  <c r="E8" i="38"/>
  <c r="E12" i="38"/>
  <c r="H104" i="38" s="1"/>
  <c r="D654" i="38"/>
  <c r="E16" i="38"/>
  <c r="H204" i="38" s="1"/>
  <c r="D554" i="38"/>
  <c r="D354" i="38"/>
  <c r="D104" i="38"/>
  <c r="E22" i="38"/>
  <c r="D454" i="38"/>
  <c r="E34" i="38"/>
  <c r="D504" i="38"/>
  <c r="E20" i="38"/>
  <c r="H304" i="38" s="1"/>
  <c r="E32" i="38"/>
  <c r="E10" i="38"/>
  <c r="H54" i="38" s="1"/>
  <c r="E24" i="38"/>
  <c r="E30" i="38"/>
  <c r="D704" i="38"/>
  <c r="E28" i="49"/>
  <c r="E10" i="49"/>
  <c r="H54" i="49" s="1"/>
  <c r="D104" i="49"/>
  <c r="D254" i="49"/>
  <c r="D754" i="49"/>
  <c r="E30" i="49"/>
  <c r="D204" i="49"/>
  <c r="D54" i="49"/>
  <c r="D704" i="49"/>
  <c r="E32" i="49"/>
  <c r="D154" i="49"/>
  <c r="E36" i="49"/>
  <c r="D404" i="49"/>
  <c r="E12" i="49"/>
  <c r="H104" i="49" s="1"/>
  <c r="E38" i="49"/>
  <c r="E18" i="49"/>
  <c r="H254" i="49" s="1"/>
  <c r="D454" i="49"/>
  <c r="D304" i="49"/>
  <c r="E20" i="49"/>
  <c r="H304" i="49" s="1"/>
  <c r="E14" i="49"/>
  <c r="H154" i="49" s="1"/>
  <c r="E16" i="49"/>
  <c r="H204" i="49" s="1"/>
  <c r="E34" i="49"/>
  <c r="E22" i="49"/>
  <c r="E26" i="49"/>
  <c r="D354" i="49"/>
  <c r="D554" i="49"/>
  <c r="E24" i="49"/>
  <c r="E8" i="49"/>
  <c r="D654" i="49"/>
  <c r="D504" i="49"/>
  <c r="D604" i="49"/>
  <c r="A8" i="37"/>
  <c r="A8" i="45"/>
  <c r="A8" i="41"/>
  <c r="A8" i="34"/>
  <c r="A8" i="44"/>
  <c r="A8" i="39"/>
  <c r="A8" i="49"/>
  <c r="A8" i="40"/>
  <c r="A8" i="38"/>
  <c r="H254" i="44" l="1"/>
  <c r="H304" i="44"/>
  <c r="K256" i="45"/>
  <c r="D303" i="45"/>
  <c r="H204" i="37"/>
  <c r="K256" i="44"/>
  <c r="D303" i="44"/>
  <c r="H354" i="49"/>
  <c r="H304" i="39"/>
  <c r="D253" i="37"/>
  <c r="K206" i="37"/>
  <c r="H304" i="45"/>
  <c r="H254" i="37"/>
  <c r="D353" i="38"/>
  <c r="K306" i="38"/>
  <c r="K306" i="49"/>
  <c r="D353" i="49"/>
  <c r="K406" i="34"/>
  <c r="D453" i="34"/>
  <c r="H454" i="34" s="1"/>
  <c r="K306" i="39"/>
  <c r="D353" i="39"/>
  <c r="K306" i="40"/>
  <c r="D353" i="40"/>
  <c r="H354" i="39"/>
  <c r="K306" i="41"/>
  <c r="D353" i="41"/>
  <c r="H4" i="34"/>
  <c r="G8" i="34" s="1"/>
  <c r="D8" i="34"/>
  <c r="D8" i="39"/>
  <c r="H4" i="39"/>
  <c r="G8" i="39" s="1"/>
  <c r="D8" i="49"/>
  <c r="H4" i="49"/>
  <c r="G8" i="49" s="1"/>
  <c r="H4" i="40"/>
  <c r="G8" i="40" s="1"/>
  <c r="D8" i="40"/>
  <c r="H4" i="38"/>
  <c r="G8" i="38" s="1"/>
  <c r="H4" i="37"/>
  <c r="G8" i="37" s="1"/>
  <c r="D8" i="37"/>
  <c r="D8" i="41"/>
  <c r="H4" i="41"/>
  <c r="G8" i="41" s="1"/>
  <c r="D8" i="45"/>
  <c r="H4" i="45"/>
  <c r="G8" i="45" s="1"/>
  <c r="D8" i="44"/>
  <c r="H4" i="44"/>
  <c r="G8" i="44" s="1"/>
  <c r="D353" i="44" l="1"/>
  <c r="K306" i="44"/>
  <c r="D403" i="49"/>
  <c r="K356" i="49"/>
  <c r="D403" i="38"/>
  <c r="K356" i="38"/>
  <c r="K256" i="37"/>
  <c r="D303" i="37"/>
  <c r="D353" i="45"/>
  <c r="K306" i="45"/>
  <c r="H354" i="38"/>
  <c r="D403" i="40"/>
  <c r="K356" i="40"/>
  <c r="D403" i="41"/>
  <c r="K356" i="41"/>
  <c r="H354" i="41"/>
  <c r="K356" i="39"/>
  <c r="D403" i="39"/>
  <c r="D503" i="34"/>
  <c r="K456" i="34"/>
  <c r="H354" i="40"/>
  <c r="D453" i="38" l="1"/>
  <c r="H404" i="38"/>
  <c r="K406" i="38"/>
  <c r="K406" i="49"/>
  <c r="D453" i="49"/>
  <c r="H404" i="49"/>
  <c r="K306" i="37"/>
  <c r="D353" i="37"/>
  <c r="H304" i="37"/>
  <c r="K356" i="45"/>
  <c r="D403" i="45"/>
  <c r="H354" i="45"/>
  <c r="K356" i="44"/>
  <c r="D403" i="44"/>
  <c r="H354" i="44"/>
  <c r="K406" i="40"/>
  <c r="D453" i="40"/>
  <c r="H404" i="40"/>
  <c r="K506" i="34"/>
  <c r="D553" i="34"/>
  <c r="H504" i="34"/>
  <c r="K406" i="41"/>
  <c r="D453" i="41"/>
  <c r="H404" i="41"/>
  <c r="D453" i="39"/>
  <c r="K406" i="39"/>
  <c r="H404" i="39"/>
  <c r="D503" i="49" l="1"/>
  <c r="K456" i="49"/>
  <c r="H454" i="49"/>
  <c r="K406" i="44"/>
  <c r="D453" i="44"/>
  <c r="H404" i="44"/>
  <c r="K406" i="45"/>
  <c r="D453" i="45"/>
  <c r="H404" i="45"/>
  <c r="H354" i="37"/>
  <c r="D403" i="37"/>
  <c r="K356" i="37"/>
  <c r="H454" i="38"/>
  <c r="K456" i="38"/>
  <c r="D503" i="38"/>
  <c r="D603" i="34"/>
  <c r="K556" i="34"/>
  <c r="H554" i="34"/>
  <c r="K456" i="39"/>
  <c r="D503" i="39"/>
  <c r="H454" i="39"/>
  <c r="K456" i="40"/>
  <c r="D503" i="40"/>
  <c r="H454" i="40"/>
  <c r="K456" i="41"/>
  <c r="D503" i="41"/>
  <c r="H454" i="41"/>
  <c r="H454" i="44" l="1"/>
  <c r="K456" i="44"/>
  <c r="D503" i="44"/>
  <c r="D553" i="38"/>
  <c r="K506" i="38"/>
  <c r="H504" i="38"/>
  <c r="H404" i="37"/>
  <c r="K406" i="37"/>
  <c r="D453" i="37"/>
  <c r="D503" i="45"/>
  <c r="K456" i="45"/>
  <c r="H454" i="45"/>
  <c r="D553" i="49"/>
  <c r="K506" i="49"/>
  <c r="H504" i="49"/>
  <c r="D553" i="41"/>
  <c r="K506" i="41"/>
  <c r="H504" i="41"/>
  <c r="K506" i="39"/>
  <c r="D553" i="39"/>
  <c r="H504" i="39"/>
  <c r="D553" i="40"/>
  <c r="K506" i="40"/>
  <c r="H504" i="40"/>
  <c r="D653" i="34"/>
  <c r="K606" i="34"/>
  <c r="H604" i="34"/>
  <c r="H504" i="44" l="1"/>
  <c r="D553" i="44"/>
  <c r="K506" i="44"/>
  <c r="D603" i="49"/>
  <c r="H554" i="49"/>
  <c r="K556" i="49"/>
  <c r="K556" i="38"/>
  <c r="D603" i="38"/>
  <c r="H554" i="38"/>
  <c r="H504" i="45"/>
  <c r="K506" i="45"/>
  <c r="D553" i="45"/>
  <c r="K456" i="37"/>
  <c r="D503" i="37"/>
  <c r="H454" i="37"/>
  <c r="D703" i="34"/>
  <c r="K656" i="34"/>
  <c r="H654" i="34"/>
  <c r="K556" i="39"/>
  <c r="D603" i="39"/>
  <c r="H554" i="39"/>
  <c r="D603" i="41"/>
  <c r="K556" i="41"/>
  <c r="H554" i="41"/>
  <c r="K556" i="40"/>
  <c r="D603" i="40"/>
  <c r="H554" i="40"/>
  <c r="K606" i="38" l="1"/>
  <c r="D653" i="38"/>
  <c r="H604" i="38"/>
  <c r="K556" i="45"/>
  <c r="H554" i="45"/>
  <c r="D603" i="45"/>
  <c r="H604" i="49"/>
  <c r="K606" i="49"/>
  <c r="D653" i="49"/>
  <c r="H504" i="37"/>
  <c r="K506" i="37"/>
  <c r="D553" i="37"/>
  <c r="D603" i="44"/>
  <c r="K556" i="44"/>
  <c r="H554" i="44"/>
  <c r="K606" i="41"/>
  <c r="D653" i="41"/>
  <c r="H604" i="41"/>
  <c r="K606" i="40"/>
  <c r="D653" i="40"/>
  <c r="H604" i="40"/>
  <c r="D653" i="39"/>
  <c r="K606" i="39"/>
  <c r="H604" i="39"/>
  <c r="K706" i="34"/>
  <c r="D753" i="34"/>
  <c r="H704" i="34"/>
  <c r="K606" i="45" l="1"/>
  <c r="H604" i="45"/>
  <c r="D653" i="45"/>
  <c r="H604" i="44"/>
  <c r="K606" i="44"/>
  <c r="D653" i="44"/>
  <c r="H654" i="38"/>
  <c r="D703" i="38"/>
  <c r="K656" i="38"/>
  <c r="K556" i="37"/>
  <c r="H554" i="37"/>
  <c r="D603" i="37"/>
  <c r="K656" i="49"/>
  <c r="D703" i="49"/>
  <c r="H654" i="49"/>
  <c r="K756" i="34"/>
  <c r="H754" i="34"/>
  <c r="D703" i="41"/>
  <c r="K656" i="41"/>
  <c r="H654" i="41"/>
  <c r="K656" i="39"/>
  <c r="D703" i="39"/>
  <c r="H654" i="39"/>
  <c r="D703" i="40"/>
  <c r="K656" i="40"/>
  <c r="H654" i="40"/>
  <c r="D753" i="38" l="1"/>
  <c r="K706" i="38"/>
  <c r="H704" i="38"/>
  <c r="D703" i="44"/>
  <c r="H654" i="44"/>
  <c r="K656" i="44"/>
  <c r="K656" i="45"/>
  <c r="H654" i="45"/>
  <c r="D703" i="45"/>
  <c r="D753" i="49"/>
  <c r="H704" i="49"/>
  <c r="K706" i="49"/>
  <c r="K606" i="37"/>
  <c r="H604" i="37"/>
  <c r="D653" i="37"/>
  <c r="K706" i="41"/>
  <c r="D753" i="41"/>
  <c r="H704" i="41"/>
  <c r="K706" i="40"/>
  <c r="D753" i="40"/>
  <c r="H704" i="40"/>
  <c r="K706" i="39"/>
  <c r="D753" i="39"/>
  <c r="H704" i="39"/>
  <c r="K656" i="37" l="1"/>
  <c r="D703" i="37"/>
  <c r="H654" i="37"/>
  <c r="H754" i="49"/>
  <c r="K756" i="49"/>
  <c r="K706" i="44"/>
  <c r="D753" i="44"/>
  <c r="H704" i="44"/>
  <c r="K706" i="45"/>
  <c r="H704" i="45"/>
  <c r="D753" i="45"/>
  <c r="H754" i="38"/>
  <c r="K756" i="38"/>
  <c r="K756" i="40"/>
  <c r="H754" i="40"/>
  <c r="K756" i="41"/>
  <c r="H754" i="41"/>
  <c r="K756" i="39"/>
  <c r="H754" i="39"/>
  <c r="K756" i="44" l="1"/>
  <c r="H754" i="44"/>
  <c r="K706" i="37"/>
  <c r="D753" i="37"/>
  <c r="H704" i="37"/>
  <c r="K756" i="45"/>
  <c r="H754" i="45"/>
  <c r="H754" i="37" l="1"/>
  <c r="K756" i="37"/>
  <c r="K29" i="45"/>
  <c r="J38" i="45"/>
  <c r="K15" i="44"/>
  <c r="H20" i="45"/>
  <c r="J31" i="49"/>
  <c r="K30" i="39"/>
  <c r="K10" i="49"/>
  <c r="J39" i="37"/>
  <c r="K36" i="34"/>
  <c r="J18" i="45"/>
  <c r="K18" i="34"/>
  <c r="J24" i="49"/>
  <c r="K13" i="49"/>
  <c r="J26" i="45"/>
  <c r="K35" i="34"/>
  <c r="H18" i="39"/>
  <c r="J25" i="44"/>
  <c r="K37" i="45"/>
  <c r="J26" i="49"/>
  <c r="J32" i="34"/>
  <c r="J20" i="39"/>
  <c r="K26" i="44"/>
  <c r="J28" i="45"/>
  <c r="K23" i="45"/>
  <c r="K10" i="34"/>
  <c r="J23" i="44"/>
  <c r="J34" i="37"/>
  <c r="K39" i="45"/>
  <c r="K32" i="34"/>
  <c r="J13" i="39"/>
  <c r="J35" i="44"/>
  <c r="J18" i="37"/>
  <c r="K33" i="45"/>
  <c r="K37" i="39"/>
  <c r="H34" i="49"/>
  <c r="J31" i="44"/>
  <c r="K30" i="37"/>
  <c r="J24" i="45"/>
  <c r="K22" i="39"/>
  <c r="J29" i="49"/>
  <c r="H26" i="44"/>
  <c r="K24" i="39"/>
  <c r="J13" i="34"/>
  <c r="J29" i="39"/>
  <c r="K36" i="44"/>
  <c r="J37" i="37"/>
  <c r="K23" i="44"/>
  <c r="J33" i="37"/>
  <c r="K19" i="34"/>
  <c r="H10" i="37"/>
  <c r="H38" i="44"/>
  <c r="K14" i="39"/>
  <c r="J19" i="37"/>
  <c r="K11" i="44"/>
  <c r="J30" i="39"/>
  <c r="K24" i="44"/>
  <c r="K22" i="34"/>
  <c r="H28" i="45"/>
  <c r="J10" i="44"/>
  <c r="K34" i="49"/>
  <c r="J31" i="37"/>
  <c r="K38" i="37"/>
  <c r="K11" i="39"/>
  <c r="K34" i="39"/>
  <c r="H28" i="37"/>
  <c r="K11" i="49"/>
  <c r="K35" i="39"/>
  <c r="K16" i="44"/>
  <c r="J33" i="39"/>
  <c r="J23" i="34"/>
  <c r="K29" i="39"/>
  <c r="H24" i="39"/>
  <c r="K18" i="45"/>
  <c r="H18" i="37"/>
  <c r="K32" i="45"/>
  <c r="J18" i="34"/>
  <c r="K14" i="45"/>
  <c r="K19" i="45"/>
  <c r="K30" i="45"/>
  <c r="J23" i="45"/>
  <c r="K33" i="39"/>
  <c r="J17" i="34"/>
  <c r="H18" i="44"/>
  <c r="J17" i="37"/>
  <c r="H22" i="39"/>
  <c r="K12" i="44"/>
  <c r="J15" i="49"/>
  <c r="J11" i="39"/>
  <c r="J23" i="37"/>
  <c r="H30" i="39"/>
  <c r="J27" i="45"/>
  <c r="J34" i="45"/>
  <c r="K13" i="39"/>
  <c r="J11" i="34"/>
  <c r="H14" i="49"/>
  <c r="K30" i="44"/>
  <c r="K15" i="34"/>
  <c r="H12" i="37"/>
  <c r="J19" i="49"/>
  <c r="J10" i="34"/>
  <c r="K39" i="39"/>
  <c r="J22" i="34"/>
  <c r="J29" i="37"/>
  <c r="J14" i="44"/>
  <c r="H36" i="37"/>
  <c r="K19" i="37"/>
  <c r="K21" i="44"/>
  <c r="K33" i="34"/>
  <c r="H12" i="49"/>
  <c r="J29" i="44"/>
  <c r="H38" i="37"/>
  <c r="J22" i="44"/>
  <c r="K38" i="45"/>
  <c r="K38" i="44"/>
  <c r="K12" i="39"/>
  <c r="J37" i="34"/>
  <c r="J30" i="34"/>
  <c r="K16" i="45"/>
  <c r="H10" i="45"/>
  <c r="H34" i="45"/>
  <c r="H36" i="34"/>
  <c r="J39" i="44"/>
  <c r="J26" i="44"/>
  <c r="H16" i="44"/>
  <c r="K20" i="44"/>
  <c r="J36" i="39"/>
  <c r="J29" i="34"/>
  <c r="J30" i="45"/>
  <c r="K36" i="37"/>
  <c r="J13" i="37"/>
  <c r="K23" i="37"/>
  <c r="K39" i="37"/>
  <c r="J18" i="44"/>
  <c r="J37" i="39"/>
  <c r="H16" i="45"/>
  <c r="J36" i="44"/>
  <c r="J21" i="39"/>
  <c r="J12" i="44"/>
  <c r="K16" i="49"/>
  <c r="J12" i="45"/>
  <c r="K35" i="44"/>
  <c r="J33" i="44"/>
  <c r="H36" i="44"/>
  <c r="H30" i="45"/>
  <c r="J24" i="37"/>
  <c r="J33" i="34"/>
  <c r="K25" i="39"/>
  <c r="K36" i="49"/>
  <c r="K26" i="37"/>
  <c r="K29" i="34"/>
  <c r="H14" i="37"/>
  <c r="K29" i="49"/>
  <c r="K18" i="44"/>
  <c r="J38" i="39"/>
  <c r="J19" i="34"/>
  <c r="J15" i="34"/>
  <c r="H30" i="34"/>
  <c r="H38" i="45"/>
  <c r="K35" i="37"/>
  <c r="H16" i="39"/>
  <c r="K28" i="37"/>
  <c r="H32" i="34"/>
  <c r="H32" i="44"/>
  <c r="J16" i="45"/>
  <c r="K27" i="49"/>
  <c r="J25" i="34"/>
  <c r="H12" i="45"/>
  <c r="J11" i="37"/>
  <c r="K21" i="39"/>
  <c r="K37" i="49"/>
  <c r="K18" i="39"/>
  <c r="H18" i="34"/>
  <c r="K27" i="44"/>
  <c r="J26" i="37"/>
  <c r="J38" i="34"/>
  <c r="H22" i="44"/>
  <c r="H28" i="39"/>
  <c r="K19" i="49"/>
  <c r="H16" i="49"/>
  <c r="H32" i="45"/>
  <c r="J14" i="45"/>
  <c r="H22" i="49"/>
  <c r="H20" i="39"/>
  <c r="J28" i="49"/>
  <c r="K37" i="37"/>
  <c r="J21" i="45"/>
  <c r="H34" i="44"/>
  <c r="K27" i="37"/>
  <c r="J28" i="34"/>
  <c r="J22" i="49"/>
  <c r="K31" i="49"/>
  <c r="K28" i="45"/>
  <c r="K29" i="44"/>
  <c r="J15" i="45"/>
  <c r="H10" i="39"/>
  <c r="H28" i="49"/>
  <c r="K34" i="34"/>
  <c r="J39" i="39"/>
  <c r="J21" i="37"/>
  <c r="K20" i="34"/>
  <c r="J34" i="49"/>
  <c r="K13" i="37"/>
  <c r="J18" i="39"/>
  <c r="K38" i="34"/>
  <c r="K39" i="49"/>
  <c r="K28" i="39"/>
  <c r="J24" i="34"/>
  <c r="J38" i="44"/>
  <c r="K39" i="44"/>
  <c r="J25" i="49"/>
  <c r="H14" i="34"/>
  <c r="J27" i="34"/>
  <c r="K36" i="39"/>
  <c r="H32" i="37"/>
  <c r="K15" i="45"/>
  <c r="H12" i="44"/>
  <c r="K14" i="37"/>
  <c r="H22" i="34"/>
  <c r="J37" i="44"/>
  <c r="J24" i="44"/>
  <c r="J26" i="34"/>
  <c r="K17" i="49"/>
  <c r="H24" i="45"/>
  <c r="J27" i="39"/>
  <c r="K37" i="44"/>
  <c r="H26" i="49"/>
  <c r="K24" i="45"/>
  <c r="K27" i="45"/>
  <c r="K11" i="34"/>
  <c r="J36" i="34"/>
  <c r="J32" i="45"/>
  <c r="J35" i="39"/>
  <c r="H38" i="49"/>
  <c r="K17" i="39"/>
  <c r="J38" i="49"/>
  <c r="J35" i="34"/>
  <c r="K16" i="39"/>
  <c r="K12" i="49"/>
  <c r="K17" i="44"/>
  <c r="J33" i="49"/>
  <c r="H12" i="34"/>
  <c r="J11" i="44"/>
  <c r="K31" i="44"/>
  <c r="J16" i="49"/>
  <c r="J32" i="39"/>
  <c r="K25" i="45"/>
  <c r="K10" i="45"/>
  <c r="J19" i="45"/>
  <c r="K24" i="49"/>
  <c r="K22" i="44"/>
  <c r="J22" i="45"/>
  <c r="K26" i="34"/>
  <c r="K12" i="45"/>
  <c r="K39" i="34"/>
  <c r="K17" i="45"/>
  <c r="H32" i="49"/>
  <c r="J13" i="45"/>
  <c r="J35" i="37"/>
  <c r="K12" i="34"/>
  <c r="K14" i="49"/>
  <c r="H20" i="34"/>
  <c r="K28" i="49"/>
  <c r="J31" i="45"/>
  <c r="K15" i="49"/>
  <c r="K31" i="34"/>
  <c r="K14" i="34"/>
  <c r="K16" i="34"/>
  <c r="K27" i="34"/>
  <c r="K16" i="37"/>
  <c r="J36" i="49"/>
  <c r="K34" i="44"/>
  <c r="H10" i="44"/>
  <c r="J38" i="37"/>
  <c r="K17" i="34"/>
  <c r="J12" i="49"/>
  <c r="K10" i="37"/>
  <c r="J16" i="34"/>
  <c r="J16" i="44"/>
  <c r="J25" i="37"/>
  <c r="J13" i="44"/>
  <c r="K21" i="45"/>
  <c r="H20" i="37"/>
  <c r="J30" i="44"/>
  <c r="J20" i="34"/>
  <c r="J20" i="37"/>
  <c r="K19" i="44"/>
  <c r="K10" i="39"/>
  <c r="J31" i="34"/>
  <c r="H26" i="34"/>
  <c r="H24" i="49"/>
  <c r="K26" i="49"/>
  <c r="J10" i="39"/>
  <c r="K11" i="37"/>
  <c r="J37" i="49"/>
  <c r="K32" i="44"/>
  <c r="J28" i="39"/>
  <c r="K33" i="37"/>
  <c r="K32" i="39"/>
  <c r="J34" i="39"/>
  <c r="H34" i="39"/>
  <c r="K22" i="37"/>
  <c r="K30" i="34"/>
  <c r="H26" i="45"/>
  <c r="J27" i="44"/>
  <c r="J14" i="49"/>
  <c r="K34" i="45"/>
  <c r="J14" i="34"/>
  <c r="H22" i="37"/>
  <c r="J21" i="49"/>
  <c r="K38" i="39"/>
  <c r="K25" i="37"/>
  <c r="K24" i="37"/>
  <c r="J16" i="37"/>
  <c r="K25" i="34"/>
  <c r="H32" i="39"/>
  <c r="J39" i="49"/>
  <c r="K21" i="37"/>
  <c r="K33" i="49"/>
  <c r="H18" i="49"/>
  <c r="J15" i="39"/>
  <c r="H36" i="39"/>
  <c r="J19" i="39"/>
  <c r="H36" i="45"/>
  <c r="J35" i="45"/>
  <c r="J12" i="34"/>
  <c r="K20" i="39"/>
  <c r="K13" i="45"/>
  <c r="H28" i="34"/>
  <c r="J17" i="49"/>
  <c r="K18" i="49"/>
  <c r="J20" i="44"/>
  <c r="J36" i="45"/>
  <c r="J25" i="45"/>
  <c r="J17" i="44"/>
  <c r="J33" i="45"/>
  <c r="J28" i="37"/>
  <c r="K20" i="45"/>
  <c r="K35" i="45"/>
  <c r="K15" i="37"/>
  <c r="K38" i="49"/>
  <c r="J19" i="44"/>
  <c r="K34" i="37"/>
  <c r="J32" i="49"/>
  <c r="K14" i="44"/>
  <c r="J18" i="49"/>
  <c r="H36" i="49"/>
  <c r="H38" i="39"/>
  <c r="K33" i="44"/>
  <c r="K23" i="34"/>
  <c r="J10" i="45"/>
  <c r="K31" i="37"/>
  <c r="K20" i="49"/>
  <c r="H16" i="37"/>
  <c r="K17" i="37"/>
  <c r="K21" i="34"/>
  <c r="H28" i="44"/>
  <c r="K18" i="37"/>
  <c r="K11" i="45"/>
  <c r="J17" i="39"/>
  <c r="J26" i="39"/>
  <c r="K31" i="45"/>
  <c r="K36" i="45"/>
  <c r="K26" i="39"/>
  <c r="K12" i="37"/>
  <c r="J14" i="39"/>
  <c r="K28" i="34"/>
  <c r="K26" i="45"/>
  <c r="J34" i="44"/>
  <c r="J17" i="45"/>
  <c r="H10" i="34"/>
  <c r="K31" i="39"/>
  <c r="H30" i="49"/>
  <c r="K10" i="44"/>
  <c r="J21" i="44"/>
  <c r="K25" i="44"/>
  <c r="K28" i="44"/>
  <c r="H20" i="49"/>
  <c r="K24" i="34"/>
  <c r="H26" i="37"/>
  <c r="K32" i="37"/>
  <c r="J20" i="49"/>
  <c r="H30" i="44"/>
  <c r="J35" i="49"/>
  <c r="K29" i="37"/>
  <c r="H12" i="39"/>
  <c r="H30" i="37"/>
  <c r="J32" i="37"/>
  <c r="K23" i="39"/>
  <c r="J39" i="45"/>
  <c r="H16" i="34"/>
  <c r="H24" i="34"/>
  <c r="J12" i="39"/>
  <c r="K30" i="49"/>
  <c r="K27" i="39"/>
  <c r="J15" i="37"/>
  <c r="H24" i="37"/>
  <c r="J37" i="45"/>
  <c r="J23" i="39"/>
  <c r="J23" i="49"/>
  <c r="K22" i="49"/>
  <c r="H14" i="45"/>
  <c r="H14" i="44"/>
  <c r="J11" i="49"/>
  <c r="J31" i="39"/>
  <c r="J14" i="37"/>
  <c r="J11" i="45"/>
  <c r="H20" i="44"/>
  <c r="K15" i="39"/>
  <c r="H34" i="37"/>
  <c r="J34" i="34"/>
  <c r="J36" i="37"/>
  <c r="J39" i="34"/>
  <c r="K19" i="39"/>
  <c r="J27" i="37"/>
  <c r="H26" i="39"/>
  <c r="K20" i="37"/>
  <c r="H22" i="45"/>
  <c r="K22" i="45"/>
  <c r="J15" i="44"/>
  <c r="K25" i="49"/>
  <c r="H38" i="34"/>
  <c r="J30" i="37"/>
  <c r="K23" i="49"/>
  <c r="J32" i="44"/>
  <c r="J16" i="39"/>
  <c r="K35" i="49"/>
  <c r="J22" i="37"/>
  <c r="J30" i="49"/>
  <c r="J10" i="49"/>
  <c r="J13" i="49"/>
  <c r="H18" i="45"/>
  <c r="H14" i="39"/>
  <c r="H34" i="34"/>
  <c r="K21" i="49"/>
  <c r="K37" i="34"/>
  <c r="K13" i="34"/>
  <c r="K13" i="44"/>
  <c r="J27" i="49"/>
  <c r="J28" i="44"/>
  <c r="J21" i="34"/>
  <c r="J22" i="39"/>
  <c r="J12" i="37"/>
  <c r="J10" i="37"/>
  <c r="J24" i="39"/>
  <c r="H10" i="49"/>
  <c r="K32" i="49"/>
  <c r="J25" i="39"/>
  <c r="J20" i="45"/>
  <c r="H24" i="44"/>
  <c r="J29" i="4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0600-000001000000}">
      <text>
        <r>
          <rPr>
            <b/>
            <sz val="9"/>
            <color indexed="81"/>
            <rFont val="Tahoma"/>
            <family val="2"/>
          </rPr>
          <t>Philips:</t>
        </r>
        <r>
          <rPr>
            <sz val="9"/>
            <color indexed="81"/>
            <rFont val="Tahoma"/>
            <family val="2"/>
          </rPr>
          <t xml:space="preserve">
# of rows for workstream list</t>
        </r>
      </text>
    </comment>
    <comment ref="A4" authorId="0" shapeId="0" xr:uid="{00000000-0006-0000-06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0600-000003000000}">
      <text>
        <r>
          <rPr>
            <b/>
            <sz val="9"/>
            <color indexed="81"/>
            <rFont val="Tahoma"/>
            <family val="2"/>
          </rPr>
          <t>Philips:</t>
        </r>
        <r>
          <rPr>
            <sz val="9"/>
            <color indexed="81"/>
            <rFont val="Tahoma"/>
            <family val="2"/>
          </rPr>
          <t xml:space="preserve">
# of rows for header</t>
        </r>
      </text>
    </comment>
    <comment ref="A6" authorId="0" shapeId="0" xr:uid="{00000000-0006-0000-06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06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06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06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06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06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06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06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06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06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06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06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06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06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06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06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06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06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06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06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0A00-000001000000}">
      <text>
        <r>
          <rPr>
            <b/>
            <sz val="9"/>
            <color indexed="81"/>
            <rFont val="Tahoma"/>
            <family val="2"/>
          </rPr>
          <t>Philips:</t>
        </r>
        <r>
          <rPr>
            <sz val="9"/>
            <color indexed="81"/>
            <rFont val="Tahoma"/>
            <family val="2"/>
          </rPr>
          <t xml:space="preserve">
# of rows for workstream list</t>
        </r>
      </text>
    </comment>
    <comment ref="A4" authorId="0" shapeId="0" xr:uid="{00000000-0006-0000-0A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0A00-000003000000}">
      <text>
        <r>
          <rPr>
            <b/>
            <sz val="9"/>
            <color indexed="81"/>
            <rFont val="Tahoma"/>
            <family val="2"/>
          </rPr>
          <t>Philips:</t>
        </r>
        <r>
          <rPr>
            <sz val="9"/>
            <color indexed="81"/>
            <rFont val="Tahoma"/>
            <family val="2"/>
          </rPr>
          <t xml:space="preserve">
# of rows for header</t>
        </r>
      </text>
    </comment>
    <comment ref="A6" authorId="0" shapeId="0" xr:uid="{00000000-0006-0000-0A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0A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0A00-000006000000}">
      <text>
        <r>
          <rPr>
            <b/>
            <sz val="9"/>
            <color indexed="81"/>
            <rFont val="Tahoma"/>
            <family val="2"/>
          </rPr>
          <t>Philips:</t>
        </r>
        <r>
          <rPr>
            <sz val="9"/>
            <color indexed="81"/>
            <rFont val="Tahoma"/>
            <family val="2"/>
          </rPr>
          <t xml:space="preserve">
row # of MWB in cover sheet relative to $E$1</t>
        </r>
      </text>
    </comment>
    <comment ref="A9" authorId="0" shapeId="0" xr:uid="{00000000-0006-0000-0A00-000007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0A00-000008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0A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0A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0A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0A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0A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0A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0A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0A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0A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0A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0A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0A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0A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0A00-000016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0B00-000001000000}">
      <text>
        <r>
          <rPr>
            <b/>
            <sz val="9"/>
            <color indexed="81"/>
            <rFont val="Tahoma"/>
            <family val="2"/>
          </rPr>
          <t>Philips:</t>
        </r>
        <r>
          <rPr>
            <sz val="9"/>
            <color indexed="81"/>
            <rFont val="Tahoma"/>
            <family val="2"/>
          </rPr>
          <t xml:space="preserve">
# of rows for workstream list</t>
        </r>
      </text>
    </comment>
    <comment ref="A4" authorId="0" shapeId="0" xr:uid="{00000000-0006-0000-0B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0B00-000003000000}">
      <text>
        <r>
          <rPr>
            <b/>
            <sz val="9"/>
            <color indexed="81"/>
            <rFont val="Tahoma"/>
            <family val="2"/>
          </rPr>
          <t>Philips:</t>
        </r>
        <r>
          <rPr>
            <sz val="9"/>
            <color indexed="81"/>
            <rFont val="Tahoma"/>
            <family val="2"/>
          </rPr>
          <t xml:space="preserve">
# of rows for header</t>
        </r>
      </text>
    </comment>
    <comment ref="A6" authorId="0" shapeId="0" xr:uid="{00000000-0006-0000-0B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0B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0B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0B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0B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0B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0B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0B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0B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0B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0B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0B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0B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0B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0B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0B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0B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0B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0B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0B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0F00-000001000000}">
      <text>
        <r>
          <rPr>
            <b/>
            <sz val="9"/>
            <color indexed="81"/>
            <rFont val="Tahoma"/>
            <family val="2"/>
          </rPr>
          <t>Philips:</t>
        </r>
        <r>
          <rPr>
            <sz val="9"/>
            <color indexed="81"/>
            <rFont val="Tahoma"/>
            <family val="2"/>
          </rPr>
          <t xml:space="preserve">
# of rows for workstream list</t>
        </r>
      </text>
    </comment>
    <comment ref="A4" authorId="0" shapeId="0" xr:uid="{00000000-0006-0000-0F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0F00-000003000000}">
      <text>
        <r>
          <rPr>
            <b/>
            <sz val="9"/>
            <color indexed="81"/>
            <rFont val="Tahoma"/>
            <family val="2"/>
          </rPr>
          <t>Philips:</t>
        </r>
        <r>
          <rPr>
            <sz val="9"/>
            <color indexed="81"/>
            <rFont val="Tahoma"/>
            <family val="2"/>
          </rPr>
          <t xml:space="preserve">
# of rows for header</t>
        </r>
      </text>
    </comment>
    <comment ref="A6" authorId="0" shapeId="0" xr:uid="{00000000-0006-0000-0F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0F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0F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0F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0F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0F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0F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0F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0F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0F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0F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0F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0F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0F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0F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0F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0F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0F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0F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0F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1000-000001000000}">
      <text>
        <r>
          <rPr>
            <b/>
            <sz val="9"/>
            <color indexed="81"/>
            <rFont val="Tahoma"/>
            <family val="2"/>
          </rPr>
          <t>Philips:</t>
        </r>
        <r>
          <rPr>
            <sz val="9"/>
            <color indexed="81"/>
            <rFont val="Tahoma"/>
            <family val="2"/>
          </rPr>
          <t xml:space="preserve">
# of rows for workstream list</t>
        </r>
      </text>
    </comment>
    <comment ref="A4" authorId="0" shapeId="0" xr:uid="{00000000-0006-0000-10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1000-000003000000}">
      <text>
        <r>
          <rPr>
            <b/>
            <sz val="9"/>
            <color indexed="81"/>
            <rFont val="Tahoma"/>
            <family val="2"/>
          </rPr>
          <t>Philips:</t>
        </r>
        <r>
          <rPr>
            <sz val="9"/>
            <color indexed="81"/>
            <rFont val="Tahoma"/>
            <family val="2"/>
          </rPr>
          <t xml:space="preserve">
# of rows for header</t>
        </r>
      </text>
    </comment>
    <comment ref="A6" authorId="0" shapeId="0" xr:uid="{00000000-0006-0000-10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10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1000-000006000000}">
      <text>
        <r>
          <rPr>
            <b/>
            <sz val="9"/>
            <color indexed="81"/>
            <rFont val="Tahoma"/>
            <family val="2"/>
          </rPr>
          <t>Philips:</t>
        </r>
        <r>
          <rPr>
            <sz val="9"/>
            <color indexed="81"/>
            <rFont val="Tahoma"/>
            <family val="2"/>
          </rPr>
          <t xml:space="preserve">
row # of MWB in cover sheet relative to $E$1</t>
        </r>
      </text>
    </comment>
    <comment ref="A9" authorId="0" shapeId="0" xr:uid="{00000000-0006-0000-1000-000007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1000-000008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10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10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10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10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10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10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10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10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10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10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10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10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10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1000-000016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1100-000001000000}">
      <text>
        <r>
          <rPr>
            <b/>
            <sz val="9"/>
            <color indexed="81"/>
            <rFont val="Tahoma"/>
            <family val="2"/>
          </rPr>
          <t>Philips:</t>
        </r>
        <r>
          <rPr>
            <sz val="9"/>
            <color indexed="81"/>
            <rFont val="Tahoma"/>
            <family val="2"/>
          </rPr>
          <t xml:space="preserve">
# of rows for workstream list</t>
        </r>
      </text>
    </comment>
    <comment ref="A4" authorId="0" shapeId="0" xr:uid="{00000000-0006-0000-11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1100-000003000000}">
      <text>
        <r>
          <rPr>
            <b/>
            <sz val="9"/>
            <color indexed="81"/>
            <rFont val="Tahoma"/>
            <family val="2"/>
          </rPr>
          <t>Philips:</t>
        </r>
        <r>
          <rPr>
            <sz val="9"/>
            <color indexed="81"/>
            <rFont val="Tahoma"/>
            <family val="2"/>
          </rPr>
          <t xml:space="preserve">
# of rows for header</t>
        </r>
      </text>
    </comment>
    <comment ref="A6" authorId="0" shapeId="0" xr:uid="{00000000-0006-0000-11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11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1100-000006000000}">
      <text>
        <r>
          <rPr>
            <b/>
            <sz val="9"/>
            <color indexed="81"/>
            <rFont val="Tahoma"/>
            <family val="2"/>
          </rPr>
          <t>Philips:</t>
        </r>
        <r>
          <rPr>
            <sz val="9"/>
            <color indexed="81"/>
            <rFont val="Tahoma"/>
            <family val="2"/>
          </rPr>
          <t xml:space="preserve">
row # of MWB in cover sheet relative to $E$1</t>
        </r>
      </text>
    </comment>
    <comment ref="A9" authorId="0" shapeId="0" xr:uid="{00000000-0006-0000-1100-000007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1100-000008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11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11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11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11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11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11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11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11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11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11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11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11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11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1100-000016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1A00-000001000000}">
      <text>
        <r>
          <rPr>
            <b/>
            <sz val="9"/>
            <color indexed="81"/>
            <rFont val="Tahoma"/>
            <family val="2"/>
          </rPr>
          <t>Philips:</t>
        </r>
        <r>
          <rPr>
            <sz val="9"/>
            <color indexed="81"/>
            <rFont val="Tahoma"/>
            <family val="2"/>
          </rPr>
          <t xml:space="preserve">
# of rows for workstream list</t>
        </r>
      </text>
    </comment>
    <comment ref="A4" authorId="0" shapeId="0" xr:uid="{00000000-0006-0000-1A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1A00-000003000000}">
      <text>
        <r>
          <rPr>
            <b/>
            <sz val="9"/>
            <color indexed="81"/>
            <rFont val="Tahoma"/>
            <family val="2"/>
          </rPr>
          <t>Philips:</t>
        </r>
        <r>
          <rPr>
            <sz val="9"/>
            <color indexed="81"/>
            <rFont val="Tahoma"/>
            <family val="2"/>
          </rPr>
          <t xml:space="preserve">
# of rows for header</t>
        </r>
      </text>
    </comment>
    <comment ref="A6" authorId="0" shapeId="0" xr:uid="{00000000-0006-0000-1A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1A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1A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1A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1A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1A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1A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1A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1A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1A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1A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1A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1A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1A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1A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1A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1A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1A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1A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1A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1B00-000001000000}">
      <text>
        <r>
          <rPr>
            <b/>
            <sz val="9"/>
            <color indexed="81"/>
            <rFont val="Tahoma"/>
            <family val="2"/>
          </rPr>
          <t>Philips:</t>
        </r>
        <r>
          <rPr>
            <sz val="9"/>
            <color indexed="81"/>
            <rFont val="Tahoma"/>
            <family val="2"/>
          </rPr>
          <t xml:space="preserve">
# of rows for workstream list</t>
        </r>
      </text>
    </comment>
    <comment ref="A4" authorId="0" shapeId="0" xr:uid="{00000000-0006-0000-1B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1B00-000003000000}">
      <text>
        <r>
          <rPr>
            <b/>
            <sz val="9"/>
            <color indexed="81"/>
            <rFont val="Tahoma"/>
            <family val="2"/>
          </rPr>
          <t>Philips:</t>
        </r>
        <r>
          <rPr>
            <sz val="9"/>
            <color indexed="81"/>
            <rFont val="Tahoma"/>
            <family val="2"/>
          </rPr>
          <t xml:space="preserve">
# of rows for header</t>
        </r>
      </text>
    </comment>
    <comment ref="A6" authorId="0" shapeId="0" xr:uid="{00000000-0006-0000-1B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1B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1B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1B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1B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1B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1B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1B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1B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1B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1B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1B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1B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1B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1B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1B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1B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1B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1B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1B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Philips</author>
  </authors>
  <commentList>
    <comment ref="A3" authorId="0" shapeId="0" xr:uid="{00000000-0006-0000-1C00-000001000000}">
      <text>
        <r>
          <rPr>
            <b/>
            <sz val="9"/>
            <color indexed="81"/>
            <rFont val="Tahoma"/>
            <family val="2"/>
          </rPr>
          <t>Philips:</t>
        </r>
        <r>
          <rPr>
            <sz val="9"/>
            <color indexed="81"/>
            <rFont val="Tahoma"/>
            <family val="2"/>
          </rPr>
          <t xml:space="preserve">
# of rows for workstream list</t>
        </r>
      </text>
    </comment>
    <comment ref="A4" authorId="0" shapeId="0" xr:uid="{00000000-0006-0000-1C00-000002000000}">
      <text>
        <r>
          <rPr>
            <b/>
            <sz val="9"/>
            <color indexed="81"/>
            <rFont val="Tahoma"/>
            <family val="2"/>
          </rPr>
          <t>Philips:</t>
        </r>
        <r>
          <rPr>
            <sz val="9"/>
            <color indexed="81"/>
            <rFont val="Tahoma"/>
            <family val="2"/>
          </rPr>
          <t xml:space="preserve">
# of rows per workstream details (tactics) including empty rows
</t>
        </r>
      </text>
    </comment>
    <comment ref="A5" authorId="0" shapeId="0" xr:uid="{00000000-0006-0000-1C00-000003000000}">
      <text>
        <r>
          <rPr>
            <b/>
            <sz val="9"/>
            <color indexed="81"/>
            <rFont val="Tahoma"/>
            <family val="2"/>
          </rPr>
          <t>Philips:</t>
        </r>
        <r>
          <rPr>
            <sz val="9"/>
            <color indexed="81"/>
            <rFont val="Tahoma"/>
            <family val="2"/>
          </rPr>
          <t xml:space="preserve">
# of rows for header</t>
        </r>
      </text>
    </comment>
    <comment ref="A6" authorId="0" shapeId="0" xr:uid="{00000000-0006-0000-1C00-000004000000}">
      <text>
        <r>
          <rPr>
            <b/>
            <sz val="9"/>
            <color indexed="81"/>
            <rFont val="Tahoma"/>
            <family val="2"/>
          </rPr>
          <t>Philips:</t>
        </r>
        <r>
          <rPr>
            <sz val="9"/>
            <color indexed="81"/>
            <rFont val="Tahoma"/>
            <family val="2"/>
          </rPr>
          <t xml:space="preserve">
# of columns per SD in cover sheet</t>
        </r>
      </text>
    </comment>
    <comment ref="A7" authorId="0" shapeId="0" xr:uid="{00000000-0006-0000-1C00-000005000000}">
      <text>
        <r>
          <rPr>
            <b/>
            <sz val="9"/>
            <color indexed="81"/>
            <rFont val="Tahoma"/>
            <family val="2"/>
          </rPr>
          <t>Philips:</t>
        </r>
        <r>
          <rPr>
            <sz val="9"/>
            <color indexed="81"/>
            <rFont val="Tahoma"/>
            <family val="2"/>
          </rPr>
          <t xml:space="preserve">
Number of MWB derived from worksheet name</t>
        </r>
      </text>
    </comment>
    <comment ref="A8" authorId="0" shapeId="0" xr:uid="{00000000-0006-0000-1C00-000006000000}">
      <text>
        <r>
          <rPr>
            <b/>
            <sz val="9"/>
            <color indexed="81"/>
            <rFont val="Tahoma"/>
            <family val="2"/>
          </rPr>
          <t>Philips:</t>
        </r>
        <r>
          <rPr>
            <sz val="9"/>
            <color indexed="81"/>
            <rFont val="Tahoma"/>
            <family val="2"/>
          </rPr>
          <t xml:space="preserve">
row # of MWB in cover sheet relative to $E$1</t>
        </r>
      </text>
    </comment>
    <comment ref="H8" authorId="0" shapeId="0" xr:uid="{00000000-0006-0000-1C00-000007000000}">
      <text>
        <r>
          <rPr>
            <b/>
            <sz val="9"/>
            <color indexed="81"/>
            <rFont val="Tahoma"/>
            <family val="2"/>
          </rPr>
          <t>Philips:</t>
        </r>
        <r>
          <rPr>
            <sz val="9"/>
            <color indexed="81"/>
            <rFont val="Tahoma"/>
            <family val="2"/>
          </rPr>
          <t xml:space="preserve">
Please manually indicate overall status of Must Win Battle.
BUT do NOT overwrite the status of the work streams below (auto filled)</t>
        </r>
      </text>
    </comment>
    <comment ref="A9" authorId="0" shapeId="0" xr:uid="{00000000-0006-0000-1C00-000008000000}">
      <text>
        <r>
          <rPr>
            <b/>
            <sz val="9"/>
            <color indexed="81"/>
            <rFont val="Tahoma"/>
            <family val="2"/>
          </rPr>
          <t>Philips:</t>
        </r>
        <r>
          <rPr>
            <sz val="9"/>
            <color indexed="81"/>
            <rFont val="Tahoma"/>
            <family val="2"/>
          </rPr>
          <t xml:space="preserve">
column # of MWB in cover sheet relative to $E$1</t>
        </r>
      </text>
    </comment>
    <comment ref="F60" authorId="0" shapeId="0" xr:uid="{00000000-0006-0000-1C00-000009000000}">
      <text>
        <r>
          <rPr>
            <sz val="9"/>
            <color indexed="81"/>
            <rFont val="Tahoma"/>
            <family val="2"/>
          </rPr>
          <t xml:space="preserve">This is the status that will be shown on the next higher level of the plan.
ALWAYS fill in the overall status for the months to date, do not leave blank
</t>
        </r>
      </text>
    </comment>
    <comment ref="F110" authorId="0" shapeId="0" xr:uid="{00000000-0006-0000-1C00-00000A000000}">
      <text>
        <r>
          <rPr>
            <sz val="9"/>
            <color indexed="81"/>
            <rFont val="Tahoma"/>
            <family val="2"/>
          </rPr>
          <t xml:space="preserve">This is the status that will be shown on the next higher level of the plan.
ALWAYS fill in the overall status for the months to date, do not leave blank
</t>
        </r>
      </text>
    </comment>
    <comment ref="F160" authorId="0" shapeId="0" xr:uid="{00000000-0006-0000-1C00-00000B000000}">
      <text>
        <r>
          <rPr>
            <sz val="9"/>
            <color indexed="81"/>
            <rFont val="Tahoma"/>
            <family val="2"/>
          </rPr>
          <t xml:space="preserve">This is the status that will be shown on the next higher level of the plan.
ALWAYS fill in the overall status for the months to date, do not leave blank
</t>
        </r>
      </text>
    </comment>
    <comment ref="F210" authorId="0" shapeId="0" xr:uid="{00000000-0006-0000-1C00-00000C000000}">
      <text>
        <r>
          <rPr>
            <sz val="9"/>
            <color indexed="81"/>
            <rFont val="Tahoma"/>
            <family val="2"/>
          </rPr>
          <t xml:space="preserve">This is the status that will be shown on the next higher level of the plan.
ALWAYS fill in the overall status for the months to date, do not leave blank
</t>
        </r>
      </text>
    </comment>
    <comment ref="F260" authorId="0" shapeId="0" xr:uid="{00000000-0006-0000-1C00-00000D000000}">
      <text>
        <r>
          <rPr>
            <sz val="9"/>
            <color indexed="81"/>
            <rFont val="Tahoma"/>
            <family val="2"/>
          </rPr>
          <t xml:space="preserve">This is the status that will be shown on the next higher level of the plan.
ALWAYS fill in the overall status for the months to date, do not leave blank
</t>
        </r>
      </text>
    </comment>
    <comment ref="F310" authorId="0" shapeId="0" xr:uid="{00000000-0006-0000-1C00-00000E000000}">
      <text>
        <r>
          <rPr>
            <sz val="9"/>
            <color indexed="81"/>
            <rFont val="Tahoma"/>
            <family val="2"/>
          </rPr>
          <t xml:space="preserve">This is the status that will be shown on the next higher level of the plan.
ALWAYS fill in the overall status for the months to date, do not leave blank
</t>
        </r>
      </text>
    </comment>
    <comment ref="F360" authorId="0" shapeId="0" xr:uid="{00000000-0006-0000-1C00-00000F000000}">
      <text>
        <r>
          <rPr>
            <sz val="9"/>
            <color indexed="81"/>
            <rFont val="Tahoma"/>
            <family val="2"/>
          </rPr>
          <t xml:space="preserve">This is the status that will be shown on the next higher level of the plan.
ALWAYS fill in the overall status for the months to date, do not leave blank
</t>
        </r>
      </text>
    </comment>
    <comment ref="F410" authorId="0" shapeId="0" xr:uid="{00000000-0006-0000-1C00-000010000000}">
      <text>
        <r>
          <rPr>
            <sz val="9"/>
            <color indexed="81"/>
            <rFont val="Tahoma"/>
            <family val="2"/>
          </rPr>
          <t xml:space="preserve">This is the status that will be shown on the next higher level of the plan.
ALWAYS fill in the overall status for the months to date, do not leave blank
</t>
        </r>
      </text>
    </comment>
    <comment ref="F460" authorId="0" shapeId="0" xr:uid="{00000000-0006-0000-1C00-000011000000}">
      <text>
        <r>
          <rPr>
            <sz val="9"/>
            <color indexed="81"/>
            <rFont val="Tahoma"/>
            <family val="2"/>
          </rPr>
          <t xml:space="preserve">This is the status that will be shown on the next higher level of the plan.
ALWAYS fill in the overall status for the months to date, do not leave blank
</t>
        </r>
      </text>
    </comment>
    <comment ref="F510" authorId="0" shapeId="0" xr:uid="{00000000-0006-0000-1C00-000012000000}">
      <text>
        <r>
          <rPr>
            <sz val="9"/>
            <color indexed="81"/>
            <rFont val="Tahoma"/>
            <family val="2"/>
          </rPr>
          <t xml:space="preserve">This is the status that will be shown on the next higher level of the plan.
ALWAYS fill in the overall status for the months to date, do not leave blank
</t>
        </r>
      </text>
    </comment>
    <comment ref="F560" authorId="0" shapeId="0" xr:uid="{00000000-0006-0000-1C00-000013000000}">
      <text>
        <r>
          <rPr>
            <sz val="9"/>
            <color indexed="81"/>
            <rFont val="Tahoma"/>
            <family val="2"/>
          </rPr>
          <t xml:space="preserve">This is the status that will be shown on the next higher level of the plan.
ALWAYS fill in the overall status for the months to date, do not leave blank
</t>
        </r>
      </text>
    </comment>
    <comment ref="F610" authorId="0" shapeId="0" xr:uid="{00000000-0006-0000-1C00-000014000000}">
      <text>
        <r>
          <rPr>
            <sz val="9"/>
            <color indexed="81"/>
            <rFont val="Tahoma"/>
            <family val="2"/>
          </rPr>
          <t xml:space="preserve">This is the status that will be shown on the next higher level of the plan.
ALWAYS fill in the overall status for the months to date, do not leave blank
</t>
        </r>
      </text>
    </comment>
    <comment ref="F660" authorId="0" shapeId="0" xr:uid="{00000000-0006-0000-1C00-000015000000}">
      <text>
        <r>
          <rPr>
            <sz val="9"/>
            <color indexed="81"/>
            <rFont val="Tahoma"/>
            <family val="2"/>
          </rPr>
          <t xml:space="preserve">This is the status that will be shown on the next higher level of the plan.
ALWAYS fill in the overall status for the months to date, do not leave blank
</t>
        </r>
      </text>
    </comment>
    <comment ref="F710" authorId="0" shapeId="0" xr:uid="{00000000-0006-0000-1C00-000016000000}">
      <text>
        <r>
          <rPr>
            <sz val="9"/>
            <color indexed="81"/>
            <rFont val="Tahoma"/>
            <family val="2"/>
          </rPr>
          <t xml:space="preserve">This is the status that will be shown on the next higher level of the plan.
ALWAYS fill in the overall status for the months to date, do not leave blank
</t>
        </r>
      </text>
    </comment>
    <comment ref="F760" authorId="0" shapeId="0" xr:uid="{00000000-0006-0000-1C00-000017000000}">
      <text>
        <r>
          <rPr>
            <sz val="9"/>
            <color indexed="81"/>
            <rFont val="Tahoma"/>
            <family val="2"/>
          </rPr>
          <t xml:space="preserve">This is the status that will be shown on the next higher level of the plan.
ALWAYS fill in the overall status for the months to date, do not leave blank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tc={8636417F-FD8D-4DA8-8FCD-B9FDD70BC190}</author>
    <author>tc={10AD0C7C-B074-4084-97DC-6880E31DB569}</author>
    <author>tc={22A25B0F-92FB-4AD1-A754-4ADA5B41EF4C}</author>
    <author>tc={5E07D25C-83CD-4E91-ACDE-3F221A7D6894}</author>
    <author>tc={FD43FC70-E234-4576-92DC-7D9814BE9F7B}</author>
    <author>tc={93FBED95-C0C9-48B7-AC4E-D119126C811B}</author>
    <author>tc={82012922-B974-4F24-8AAC-317189376FB3}</author>
  </authors>
  <commentList>
    <comment ref="I12" authorId="0" shapeId="0" xr:uid="{8636417F-FD8D-4DA8-8FCD-B9FDD70BC190}">
      <text>
        <t>[Comentário encadeado]
Sua versão do Excel permite que você leia este comentário encadeado, no entanto, as edições serão removidas se o arquivo for aberto em uma versão mais recente do Excel. Saiba mais: https://go.microsoft.com/fwlink/?linkid=870924
Comentário:
    Era 02.02</t>
      </text>
    </comment>
    <comment ref="I15" authorId="1" shapeId="0" xr:uid="{10AD0C7C-B074-4084-97DC-6880E31DB569}">
      <text>
        <t>[Comentário encadeado]
Sua versão do Excel permite que você leia este comentário encadeado, no entanto, as edições serão removidas se o arquivo for aberto em uma versão mais recente do Excel. Saiba mais: https://go.microsoft.com/fwlink/?linkid=870924
Comentário:
    Era 02.03</t>
      </text>
    </comment>
    <comment ref="I18" authorId="2" shapeId="0" xr:uid="{22A25B0F-92FB-4AD1-A754-4ADA5B41EF4C}">
      <text>
        <t>[Comentário encadeado]
Sua versão do Excel permite que você leia este comentário encadeado, no entanto, as edições serão removidas se o arquivo for aberto em uma versão mais recente do Excel. Saiba mais: https://go.microsoft.com/fwlink/?linkid=870924
Comentário:
    Era 02.05</t>
      </text>
    </comment>
    <comment ref="I21" authorId="3" shapeId="0" xr:uid="{5E07D25C-83CD-4E91-ACDE-3F221A7D6894}">
      <text>
        <t>[Comentário encadeado]
Sua versão do Excel permite que você leia este comentário encadeado, no entanto, as edições serão removidas se o arquivo for aberto em uma versão mais recente do Excel. Saiba mais: https://go.microsoft.com/fwlink/?linkid=870924
Comentário:
    Era 02.06</t>
      </text>
    </comment>
    <comment ref="I24" authorId="4" shapeId="0" xr:uid="{FD43FC70-E234-4576-92DC-7D9814BE9F7B}">
      <text>
        <t>[Comentário encadeado]
Sua versão do Excel permite que você leia este comentário encadeado, no entanto, as edições serão removidas se o arquivo for aberto em uma versão mais recente do Excel. Saiba mais: https://go.microsoft.com/fwlink/?linkid=870924
Comentário:
    Era 02.07</t>
      </text>
    </comment>
    <comment ref="I30" authorId="5" shapeId="0" xr:uid="{93FBED95-C0C9-48B7-AC4E-D119126C811B}">
      <text>
        <t>[Comentário encadeado]
Sua versão do Excel permite que você leia este comentário encadeado, no entanto, as edições serão removidas se o arquivo for aberto em uma versão mais recente do Excel. Saiba mais: https://go.microsoft.com/fwlink/?linkid=870924
Comentário:
    Era 02.08</t>
      </text>
    </comment>
    <comment ref="I33" authorId="6" shapeId="0" xr:uid="{82012922-B974-4F24-8AAC-317189376FB3}">
      <text>
        <t>[Comentário encadeado]
Sua versão do Excel permite que você leia este comentário encadeado, no entanto, as edições serão removidas se o arquivo for aberto em uma versão mais recente do Excel. Saiba mais: https://go.microsoft.com/fwlink/?linkid=870924
Comentário:
    Era 02.09</t>
      </text>
    </comment>
  </commentList>
</comments>
</file>

<file path=xl/sharedStrings.xml><?xml version="1.0" encoding="utf-8"?>
<sst xmlns="http://schemas.openxmlformats.org/spreadsheetml/2006/main" count="18035" uniqueCount="545">
  <si>
    <t>xxxxxxxxxxxxxxxxxxxxxxxxxxxxxxxxxxxxxxxxxxxxxxxxxxxxxxxxxx</t>
  </si>
  <si>
    <t>Organization</t>
  </si>
  <si>
    <t>Function</t>
  </si>
  <si>
    <t>Plan Owner</t>
  </si>
  <si>
    <t>Created On</t>
  </si>
  <si>
    <t>Last Revised</t>
  </si>
  <si>
    <t>dd-mm-yyyy</t>
  </si>
  <si>
    <t>Business Situation</t>
  </si>
  <si>
    <t>Objectives 
(Owner)</t>
  </si>
  <si>
    <t>ID</t>
  </si>
  <si>
    <t>Work Stream</t>
  </si>
  <si>
    <t>Owner</t>
  </si>
  <si>
    <t>Status</t>
  </si>
  <si>
    <t>Last Review</t>
  </si>
  <si>
    <t>Remarks</t>
  </si>
  <si>
    <t>Performance Metric
Targets</t>
  </si>
  <si>
    <t>Conditional Formatting:</t>
  </si>
  <si>
    <t>Overall Status of Must Win Battle</t>
  </si>
  <si>
    <t>Please type the applicable character in the overall status cell</t>
  </si>
  <si>
    <t>AAA</t>
  </si>
  <si>
    <t>A</t>
  </si>
  <si>
    <t>Not planned</t>
  </si>
  <si>
    <t>Planned</t>
  </si>
  <si>
    <t>BBB</t>
  </si>
  <si>
    <t>B</t>
  </si>
  <si>
    <t>On Track</t>
  </si>
  <si>
    <t>At Risk</t>
  </si>
  <si>
    <t>CCC</t>
  </si>
  <si>
    <t>C</t>
  </si>
  <si>
    <t>Off Track</t>
  </si>
  <si>
    <t>Finished</t>
  </si>
  <si>
    <t>DDD</t>
  </si>
  <si>
    <t>D</t>
  </si>
  <si>
    <t>EEE</t>
  </si>
  <si>
    <t>E</t>
  </si>
  <si>
    <t>FFF</t>
  </si>
  <si>
    <t>F</t>
  </si>
  <si>
    <t>Performance Metrics</t>
  </si>
  <si>
    <t>GGG</t>
  </si>
  <si>
    <t>G</t>
  </si>
  <si>
    <t>(Definitions)</t>
  </si>
  <si>
    <t>HHH</t>
  </si>
  <si>
    <t>H</t>
  </si>
  <si>
    <t>III</t>
  </si>
  <si>
    <t>I</t>
  </si>
  <si>
    <t>JJJ</t>
  </si>
  <si>
    <t>J</t>
  </si>
  <si>
    <t>KKK</t>
  </si>
  <si>
    <t>K</t>
  </si>
  <si>
    <t>LLL</t>
  </si>
  <si>
    <t>L</t>
  </si>
  <si>
    <t>MMM</t>
  </si>
  <si>
    <t>M</t>
  </si>
  <si>
    <t>NNN</t>
  </si>
  <si>
    <t>N</t>
  </si>
  <si>
    <t>OOO</t>
  </si>
  <si>
    <t>O</t>
  </si>
  <si>
    <t>x
x</t>
  </si>
  <si>
    <t>Created on</t>
  </si>
  <si>
    <t>xxx</t>
  </si>
  <si>
    <t>Strategy (Owner)</t>
  </si>
  <si>
    <t>Tactic</t>
  </si>
  <si>
    <t>Jan</t>
  </si>
  <si>
    <t>Feb</t>
  </si>
  <si>
    <t>Mar</t>
  </si>
  <si>
    <t>Apr</t>
  </si>
  <si>
    <t>May</t>
  </si>
  <si>
    <t>Jun</t>
  </si>
  <si>
    <t>Jul</t>
  </si>
  <si>
    <t>Aug</t>
  </si>
  <si>
    <t>Sep</t>
  </si>
  <si>
    <t>Oct</t>
  </si>
  <si>
    <t>Nov</t>
  </si>
  <si>
    <t>Dec</t>
  </si>
  <si>
    <t>Please type the applicable character in the appropriate month's cell</t>
  </si>
  <si>
    <t>x</t>
  </si>
  <si>
    <t>Strategy</t>
  </si>
  <si>
    <t>00</t>
  </si>
  <si>
    <t>Overall Status / Summary</t>
  </si>
  <si>
    <t>01</t>
  </si>
  <si>
    <t>Step 1</t>
  </si>
  <si>
    <t>02</t>
  </si>
  <si>
    <t>Step 2</t>
  </si>
  <si>
    <t>03</t>
  </si>
  <si>
    <t>Step 3</t>
  </si>
  <si>
    <t>04</t>
  </si>
  <si>
    <t>Step 4</t>
  </si>
  <si>
    <t>05</t>
  </si>
  <si>
    <t>Step 5</t>
  </si>
  <si>
    <t>06</t>
  </si>
  <si>
    <t>Step 6</t>
  </si>
  <si>
    <t>07</t>
  </si>
  <si>
    <t>Step 7</t>
  </si>
  <si>
    <t>Metric 1</t>
  </si>
  <si>
    <t>08</t>
  </si>
  <si>
    <t>Step 8</t>
  </si>
  <si>
    <t>09</t>
  </si>
  <si>
    <t>Step 9</t>
  </si>
  <si>
    <t>Metric 2</t>
  </si>
  <si>
    <t>10</t>
  </si>
  <si>
    <t>Step 10</t>
  </si>
  <si>
    <t>11</t>
  </si>
  <si>
    <t>Step 11</t>
  </si>
  <si>
    <t>Metric 3</t>
  </si>
  <si>
    <t>12</t>
  </si>
  <si>
    <t>Step 12</t>
  </si>
  <si>
    <t>13</t>
  </si>
  <si>
    <t>Step 13</t>
  </si>
  <si>
    <t>Metric 4</t>
  </si>
  <si>
    <t>14</t>
  </si>
  <si>
    <t>Step 14</t>
  </si>
  <si>
    <t>15</t>
  </si>
  <si>
    <t>Step 15</t>
  </si>
  <si>
    <r>
      <rPr>
        <b/>
        <sz val="8"/>
        <color rgb="FFFFFFFF"/>
        <rFont val="Arial"/>
        <family val="2"/>
      </rPr>
      <t>C</t>
    </r>
    <r>
      <rPr>
        <sz val="8"/>
        <color rgb="FFFFFFFF"/>
        <rFont val="Arial"/>
        <family val="2"/>
      </rPr>
      <t>oncern</t>
    </r>
  </si>
  <si>
    <r>
      <rPr>
        <b/>
        <sz val="8"/>
        <color rgb="FFFFFFFF"/>
        <rFont val="Arial"/>
        <family val="2"/>
      </rPr>
      <t>C</t>
    </r>
    <r>
      <rPr>
        <sz val="8"/>
        <color rgb="FFFFFFFF"/>
        <rFont val="Arial"/>
        <family val="2"/>
      </rPr>
      <t>ause</t>
    </r>
  </si>
  <si>
    <t>Countermeasure</t>
  </si>
  <si>
    <t>Responsible</t>
  </si>
  <si>
    <t>Implementation Date</t>
  </si>
  <si>
    <t>5W + 1H  (What is the problem? Why is it a problem? Where is it a problem? When is it a problem? Who is it a problem for? How is it a problem?)</t>
  </si>
  <si>
    <t>5x Why?</t>
  </si>
  <si>
    <t xml:space="preserve">What is the countermeasure? </t>
  </si>
  <si>
    <t>27-06</t>
  </si>
  <si>
    <t>Strategic Initiatives</t>
  </si>
  <si>
    <t>01-10-2015</t>
  </si>
  <si>
    <t>22-07-2016</t>
  </si>
  <si>
    <t>11-12-2015</t>
  </si>
  <si>
    <t>Review status with Sylvain Darve, Erwin Douna,</t>
  </si>
  <si>
    <t>01-02-2016</t>
  </si>
  <si>
    <t>Ewin van der Schoot</t>
  </si>
  <si>
    <t>Philippe Faure</t>
  </si>
  <si>
    <t>André Plucker</t>
  </si>
  <si>
    <t/>
  </si>
  <si>
    <t>15-10-2015</t>
  </si>
  <si>
    <t>Define &amp; build up central resources needed for Lean deployment (incl. Training)</t>
  </si>
  <si>
    <t>Ingo</t>
  </si>
  <si>
    <t>Agree and assign resources per site</t>
  </si>
  <si>
    <t>Establish roadmap for Lean deployment (Strat. Reviews, gate exits, trainings,..)</t>
  </si>
  <si>
    <t>Review structure to update needs and provide appropriate support</t>
  </si>
  <si>
    <t>Capability Roadmap, execution (training) and support for certifications</t>
  </si>
  <si>
    <t>Ensure best practice sharing and x-learning</t>
  </si>
  <si>
    <t>Regular performance evaluation and reflection (PDCA / PSQDCC)</t>
  </si>
  <si>
    <t>Ensure global alignment (Lighting) - Use of model, requirements, criteria, etc</t>
  </si>
  <si>
    <t>Certifications per site as defined</t>
  </si>
  <si>
    <t>Review structure in place</t>
  </si>
  <si>
    <t># of BB/GB projects running as per roadmap</t>
  </si>
  <si>
    <t>15.10.2015</t>
  </si>
  <si>
    <t>04.09.2016</t>
  </si>
  <si>
    <t>Monitor SAP Lead time for Specials per Factory</t>
  </si>
  <si>
    <t>Erwin</t>
  </si>
  <si>
    <t>Review CSO field for Specials</t>
  </si>
  <si>
    <t>Philippe</t>
  </si>
  <si>
    <t>Implement CSO review wien repeat orders (shorten LT)</t>
  </si>
  <si>
    <t>Implement CSC Outdoor</t>
  </si>
  <si>
    <t>Implement CSC Indoor PS</t>
  </si>
  <si>
    <t>Implement CSC Indoor GA</t>
  </si>
  <si>
    <t>Build learning from pilot H&amp;M</t>
  </si>
  <si>
    <t>Deploy process &amp; Templates</t>
  </si>
  <si>
    <t>Stéphane</t>
  </si>
  <si>
    <t>Monitor use of NPDL customization</t>
  </si>
  <si>
    <t>CSCs managers</t>
  </si>
  <si>
    <t>Review , validate and communicate costing policy for Specials (derived)</t>
  </si>
  <si>
    <t>Validate and communicate costing policy for Specials (custom)</t>
  </si>
  <si>
    <t>Build communication package</t>
  </si>
  <si>
    <t>CSC Managers</t>
  </si>
  <si>
    <t>Deploy L-Tune for every Outdoor product (in line with Product Mgt roadmap)</t>
  </si>
  <si>
    <t>Erwin Douna</t>
  </si>
  <si>
    <t>Investigate use of L-Tune for Indoor products</t>
  </si>
  <si>
    <t>Secure comptencies related to L-Tune (PMO, R&amp;D and factories)</t>
  </si>
  <si>
    <t>Finalize Serviceability for every Outdoor product (in line with Product Mgt roadmap)</t>
  </si>
  <si>
    <t>Waldemar Kulas</t>
  </si>
  <si>
    <t>Prepare serviceability data for Indoor products</t>
  </si>
  <si>
    <t>Design I3d Printing digital backbone with IT Lighting landscape</t>
  </si>
  <si>
    <t>Secure interface 3D printing data to TC / TPD</t>
  </si>
  <si>
    <t>Ozgur Oz</t>
  </si>
  <si>
    <t xml:space="preserve">Create conditions to manage standard building blocks x-CAGs and X-factories </t>
  </si>
  <si>
    <t>Sylvain Darve</t>
  </si>
  <si>
    <t>Review consistency of configurators options across ranges</t>
  </si>
  <si>
    <t>Product Mgt</t>
  </si>
  <si>
    <t>Design and deploy alternative BOM to support configurator maintenance</t>
  </si>
  <si>
    <t>xxxxxxxxxx</t>
  </si>
  <si>
    <t>xxxxxxxx</t>
  </si>
  <si>
    <t>xxxxxxxxxxxxxxxxxxxxx</t>
  </si>
  <si>
    <t>x
x
x</t>
  </si>
  <si>
    <t>Mês:</t>
  </si>
  <si>
    <t>VISÃO</t>
  </si>
  <si>
    <t>PROPÓSITO</t>
  </si>
  <si>
    <t>VALORES</t>
  </si>
  <si>
    <t>PRINCIPIOS ORIENTADORES</t>
  </si>
  <si>
    <t>x
x
x
x
x
x
x</t>
  </si>
  <si>
    <t>Objetivos</t>
  </si>
  <si>
    <r>
      <rPr>
        <b/>
        <i/>
        <sz val="14"/>
        <rFont val="Arial"/>
        <family val="2"/>
      </rPr>
      <t xml:space="preserve">Drivers </t>
    </r>
    <r>
      <rPr>
        <b/>
        <sz val="14"/>
        <rFont val="Arial"/>
        <family val="2"/>
      </rPr>
      <t>Estratégicos</t>
    </r>
  </si>
  <si>
    <t>x
x
x
x
x</t>
  </si>
  <si>
    <r>
      <t xml:space="preserve">Definição do </t>
    </r>
    <r>
      <rPr>
        <b/>
        <i/>
        <sz val="14"/>
        <rFont val="Arial"/>
        <family val="2"/>
      </rPr>
      <t>Driver</t>
    </r>
  </si>
  <si>
    <t>.</t>
  </si>
  <si>
    <t>Iniciativas Estratégicas</t>
  </si>
  <si>
    <t>01.01</t>
  </si>
  <si>
    <t>02.01</t>
  </si>
  <si>
    <t>03.01</t>
  </si>
  <si>
    <t>04.01</t>
  </si>
  <si>
    <t>Aumentar a Produtividade da MO</t>
  </si>
  <si>
    <t>?</t>
  </si>
  <si>
    <t>Responsável</t>
  </si>
  <si>
    <t>01.02</t>
  </si>
  <si>
    <t>02.02</t>
  </si>
  <si>
    <t>03.02</t>
  </si>
  <si>
    <t>04.02</t>
  </si>
  <si>
    <t>01.03</t>
  </si>
  <si>
    <t>02.03</t>
  </si>
  <si>
    <t>03.03</t>
  </si>
  <si>
    <t>04.03</t>
  </si>
  <si>
    <t>01.04</t>
  </si>
  <si>
    <t>02.04</t>
  </si>
  <si>
    <t>03.04</t>
  </si>
  <si>
    <t>04.04</t>
  </si>
  <si>
    <t>01.05</t>
  </si>
  <si>
    <t>02.05</t>
  </si>
  <si>
    <t>03.05</t>
  </si>
  <si>
    <t>04.05</t>
  </si>
  <si>
    <t>01.06</t>
  </si>
  <si>
    <t>02.06</t>
  </si>
  <si>
    <t>03.06</t>
  </si>
  <si>
    <t>04.06</t>
  </si>
  <si>
    <t>01.07</t>
  </si>
  <si>
    <t>02.07</t>
  </si>
  <si>
    <t>03.07</t>
  </si>
  <si>
    <t>01.08</t>
  </si>
  <si>
    <t>03.08</t>
  </si>
  <si>
    <t>03.09</t>
  </si>
  <si>
    <t>Indicadores e Metas</t>
  </si>
  <si>
    <t>02 Avanço do PROGRAMA TPM (YTD)</t>
  </si>
  <si>
    <t>04 Custo MOD + DGF (YTD) em relação do BGT-25</t>
  </si>
  <si>
    <t>BRL</t>
  </si>
  <si>
    <t>03 Custo da Não Qualidade (mensal)</t>
  </si>
  <si>
    <t>0,45 % / Net Sales</t>
  </si>
  <si>
    <t>05 OPEX (YTD) em relação ao BGT-25</t>
  </si>
  <si>
    <t>02.02 Acidentes c Afastamento (YTD)</t>
  </si>
  <si>
    <t xml:space="preserve">04.01 MTBF  </t>
  </si>
  <si>
    <t>235h injeção
60h cortador
150h montagem
130h prensa</t>
  </si>
  <si>
    <t>05.01 Custos de Transporte</t>
  </si>
  <si>
    <t>-3% BGT</t>
  </si>
  <si>
    <t>02.02 Aumentar a quantidade das condições de riscos (mensal)</t>
  </si>
  <si>
    <t>&gt;= 20</t>
  </si>
  <si>
    <t>04.01  MTTR (mensal)</t>
  </si>
  <si>
    <t>7h injeção
5h cortador
2h montagem
2h prensa</t>
  </si>
  <si>
    <t>&lt;= 2</t>
  </si>
  <si>
    <t>05.02 Custos de Manutenção</t>
  </si>
  <si>
    <t>02.02 Ações de redução das condições de riscos (mensal)</t>
  </si>
  <si>
    <t>&gt;= 15</t>
  </si>
  <si>
    <t>04.02 Produtividade Montagem (mensal)</t>
  </si>
  <si>
    <t>&gt;=92%</t>
  </si>
  <si>
    <t xml:space="preserve">03.03 Auditoria 5S Injeção </t>
  </si>
  <si>
    <t>05.03 Custos de Matéria-prima (mensal)</t>
  </si>
  <si>
    <t>02.03 Implantação da agenda (YTD)</t>
  </si>
  <si>
    <t>04.03 Implantação de report e açoes S&amp;OE</t>
  </si>
  <si>
    <t>03.04 Redução Tempo de Setup</t>
  </si>
  <si>
    <t>05.04 Custos de Serviços (Mensal)</t>
  </si>
  <si>
    <t>02.05 Redução dos GAP's de Habilidades</t>
  </si>
  <si>
    <t>04.04 Disponibilidade Cortadoras (mensal)</t>
  </si>
  <si>
    <t>&gt;= 90%</t>
  </si>
  <si>
    <t>03.05 Redução das Devolução</t>
  </si>
  <si>
    <t>&lt;=10709</t>
  </si>
  <si>
    <t>05.05 Despesas OpEx</t>
  </si>
  <si>
    <t>02.06  Treinamentos da liderança e operacional realizado / programado %</t>
  </si>
  <si>
    <t>&gt;= 90% / mês</t>
  </si>
  <si>
    <t>04.05 Entrega do Vancouver (mensal)</t>
  </si>
  <si>
    <t>min 150k /mês</t>
  </si>
  <si>
    <t>03.06 Contrato de fornecedores de MP</t>
  </si>
  <si>
    <t>05.06 Cubagem e R$/Kg</t>
  </si>
  <si>
    <t>Cubagem - 80%
R$/KG - 0,78</t>
  </si>
  <si>
    <t>02.07.2 Absenteismo</t>
  </si>
  <si>
    <t>&lt;=1%</t>
  </si>
  <si>
    <t xml:space="preserve">04.06a Tempo Médio de vida do chamado (acumulado)
</t>
  </si>
  <si>
    <t>-20% vs. 2024</t>
  </si>
  <si>
    <t>03.07 Horas de retrabalho estamparia</t>
  </si>
  <si>
    <t>&lt; 40 horas</t>
  </si>
  <si>
    <t>05.07 % Custo de Despesas Comercial / Faturamento Liquido</t>
  </si>
  <si>
    <t>02.07 Turnover operacional</t>
  </si>
  <si>
    <t>&lt; = 10% / mês</t>
  </si>
  <si>
    <t>04.06b Chamados corretivos de hardwares industriais (acumulado)</t>
  </si>
  <si>
    <t>03.08 PPM estamparia</t>
  </si>
  <si>
    <t>05.08 Redução Custo da Não Qualidade</t>
  </si>
  <si>
    <t>0,45 % /
 Net Sales</t>
  </si>
  <si>
    <t>02.08 Ergonomia da montagem</t>
  </si>
  <si>
    <t>4 Melhorias / Mês</t>
  </si>
  <si>
    <t>04.06c Implementar melhorias de Infraestrutura, Software e(ou) Hardware</t>
  </si>
  <si>
    <t>&gt;= 6 / acumulado</t>
  </si>
  <si>
    <t>03.09 Implantação do manual do fornecedor</t>
  </si>
  <si>
    <t>05.09  Redução de despesas fixas 2025</t>
  </si>
  <si>
    <t>&lt;3% FCT</t>
  </si>
  <si>
    <t xml:space="preserve">02.09 Melhora no gaps da pesquisa </t>
  </si>
  <si>
    <t>+ 0,5 pontos</t>
  </si>
  <si>
    <t xml:space="preserve">04.06d Elevar o nível de satisfação dos clientes internos </t>
  </si>
  <si>
    <t>+10%/Trimestre</t>
  </si>
  <si>
    <t>03.10 Divergência de inventário de atacos</t>
  </si>
  <si>
    <t>&lt;1%</t>
  </si>
  <si>
    <t>05.02 Custos de Manutenção Serviço</t>
  </si>
  <si>
    <t>71k/mês</t>
  </si>
  <si>
    <t>04.07a OTIF (principais clientes)</t>
  </si>
  <si>
    <t>&gt;95%</t>
  </si>
  <si>
    <t>03.11 Kaizen registrado (mensal)</t>
  </si>
  <si>
    <t xml:space="preserve">&gt;= 25 /mês </t>
  </si>
  <si>
    <t>05.02 Custos de Manutenção Maq.</t>
  </si>
  <si>
    <t>90k/mês</t>
  </si>
  <si>
    <t>04.07b OTIF (demais clientes)</t>
  </si>
  <si>
    <t>03.12 - Reunião para elaboração do manual do fornecedor</t>
  </si>
  <si>
    <t>Quinzenal</t>
  </si>
  <si>
    <t>04.08 Gargalos produtivos</t>
  </si>
  <si>
    <t>03.13 - Reconhecimento Kaizen</t>
  </si>
  <si>
    <t>Trimestral</t>
  </si>
  <si>
    <t>03.14_PERFORMANCE DE QUALIDADE DE FORNECEDORES</t>
  </si>
  <si>
    <t>&lt;= 3.000 PPM</t>
  </si>
  <si>
    <t>03.15_ÍNDICE DE QUALIDADE DOS FORNECEDORES (IQF)</t>
  </si>
  <si>
    <t>&gt;=98%</t>
  </si>
  <si>
    <t xml:space="preserve">03.16 - PPM de cliente: </t>
  </si>
  <si>
    <t>&lt;= 2500</t>
  </si>
  <si>
    <t>&gt;&gt;&gt;&gt;&gt;</t>
  </si>
  <si>
    <t>LEGENDA</t>
  </si>
  <si>
    <t>Atividade não Planejada</t>
  </si>
  <si>
    <t>Atividade não Planejada Ainda</t>
  </si>
  <si>
    <t>6</t>
  </si>
  <si>
    <t>Atividade Planejada</t>
  </si>
  <si>
    <t>De Acordo</t>
  </si>
  <si>
    <t xml:space="preserve">Cronograma, Custos e Resultados estão conforme planejamento
</t>
  </si>
  <si>
    <t>Atenção</t>
  </si>
  <si>
    <t>Existe algum problema que deve ser resolvido ou tomar decisão, para que tenhamos o resultado esperado</t>
  </si>
  <si>
    <t>Crítico</t>
  </si>
  <si>
    <t>Este problema crítico que merece uma atenção maior, pois não trará nenhum resultado para empresa</t>
  </si>
  <si>
    <t>P</t>
  </si>
  <si>
    <t>Finalizado</t>
  </si>
  <si>
    <t xml:space="preserve">Cancelado ou Finalizado com Sucerro
</t>
  </si>
  <si>
    <t>Hoshin Kanri Industrial - Strategic Planning Summary</t>
  </si>
  <si>
    <t>NOME DA EMPRESA</t>
  </si>
  <si>
    <t>Nov.'25</t>
  </si>
  <si>
    <t>MISSÃO</t>
  </si>
  <si>
    <t>VALORES / PROPÓSITOS</t>
  </si>
  <si>
    <t xml:space="preserve">
Ser a empresas mais rentável do segmento, criando marcas icônicas, pessoas felizes, que geram oportunidades, sentem orgulho do que fazem e tem admiração de clientes, fornecedores, consumidores e comunidade.</t>
  </si>
  <si>
    <t>Marcar a vida das pessoas com doces alegrias e o
 sabor de histórias recheadas de emoção.</t>
  </si>
  <si>
    <t>Verdade e Integridade
Humildade e Simplicidade
Otimismo e Fé
Cooperação e Solidariedade
Amor e Generosidade</t>
  </si>
  <si>
    <t>Consolidar o Sistema de Garantia da Qualidade</t>
  </si>
  <si>
    <t>Construir uma Equipe Engajada</t>
  </si>
  <si>
    <t>Aumentar a Confiabilidade dos Processos</t>
  </si>
  <si>
    <t>Aumentar a Confiabilidade das Máquinas</t>
  </si>
  <si>
    <t>Reduzir e Otimizar Custos Industriais</t>
  </si>
  <si>
    <t>Fortaleceremos a base do nosso sistema de gestão da qualidade, garantindo produtos seguros, conformes e consistentes em todos os lotes.
Em 2026, consolidaremos o Sistema de Garantia da Qualidade por meio da implantação do HACCP, avanços no processo de certificação FSSC 22000, manutenção da certificação Halal e avanço nas Boas Práticas de Fabricação.
A ênfase estará em trabalho padronizado, estabilidade básica (5S, Beleza Básica, Higienização e Limpeza) e redução sustentada de reclamações de clientes.</t>
  </si>
  <si>
    <t>Cuidaremos do ambiente, da segurança e do desenvolvimento das pessoas, para que todos possam entregar seu melhor de forma sustentável. Nosso foco será Zero Acidentes, redução de turnover e absenteísmo, e avanço consistente na Gestão Autônoma, vamos focar em trabalhar apenas com pessoas engajadas.
Implantaremos o plano de ação da Matriz QM-Mão de Obra, a Matriz de RAC e Avaliação de Desenvolvimento, a Avaliação de Desempenho será uma ferramenta de crescimento e desenvolvimento do time de gestão.
O resultado será uma equipe comprometida, segura e confiante, capaz de sustentar a cultura de excelência e melhoria contínua.</t>
  </si>
  <si>
    <t>Elevar a maturidade técnica e o controle dos processos-chave, assegurando consistência, previsibilidade e desempenho estável.
Em 2026, fortaleceremos a Gestão da Qualidade de Processo e Produto, aplicando a Matriz QA/QX/QM das operações críticas, a Matriz QM-Material e Método, e o Controle de Processo via Intelup.
A Cadeia de Ajuda será sistematizada para solucionar desvios com velocidade e aprendizado coletivo.
Projetos de Melhoria Focada e análises de capabilidade (Cp/CpK) garantirão estabilidade e confiabilidade crescentes.
O resultado será uma operação com variabilidade controlada e performance previsível.</t>
  </si>
  <si>
    <t>Elevar a disponibilidade e o desempenho técnico dos equipamentos, sustentando a produtividade e a estabilidade operacional.
O foco será o aumento da confiabilidade das máquinas e equipamentos, com a consolidação da Gestão do PCM, execução do plano de ação da Matriz QM-Máquinas, e classificação ABC de Equipamentos para priorização de recursos e esforços.
Serão monitorados indicadores de capabilidade de máquina (Cm/CmK) e implementação de práticas de manutenção preventiva e preditiva.
O resultado esperado é uma base operacional resiliente, com equipamentos confiáveis, produtivos e sustentáveis.</t>
  </si>
  <si>
    <t>Maximizaremos a eficiência dos recursos produtivos e financeiros, eliminando desperdícios e ampliando a rentabilidade operacional.
Em 2026, o foco será reduzir em 8% os custos diretos de produção, otimizar custos indiretos, aumentar a produtividade da mão de obra e diminuir os custos de não qualidade e manutenção.
Avançaremos na consistência da aplicação do CAPEX voltado à manutenção estratégica e na redução dos riscos industriais, garantindo operações mais seguras, estáveis e competitivas, com retorno sustentável dos investimentos.</t>
  </si>
  <si>
    <t>Implantação HCCP</t>
  </si>
  <si>
    <t>Zero Acidentes</t>
  </si>
  <si>
    <t>3.01</t>
  </si>
  <si>
    <t>Matriz QA,QX,QM das Operações Chave</t>
  </si>
  <si>
    <t>Aumento Disponibilidade de maquinas</t>
  </si>
  <si>
    <t>05.01</t>
  </si>
  <si>
    <t>Reduzir 8% dos Custos Diretos de Produção</t>
  </si>
  <si>
    <t xml:space="preserve">01.01.1 </t>
  </si>
  <si>
    <r>
      <rPr>
        <b/>
        <sz val="10"/>
        <rFont val="Arial"/>
        <family val="2"/>
      </rPr>
      <t xml:space="preserve">02.02.1- </t>
    </r>
    <r>
      <rPr>
        <sz val="10"/>
        <rFont val="Arial"/>
        <family val="2"/>
      </rPr>
      <t xml:space="preserve">Implementar mapa de risco de acidentes.
</t>
    </r>
    <r>
      <rPr>
        <b/>
        <sz val="10"/>
        <rFont val="Arial"/>
        <family val="2"/>
      </rPr>
      <t xml:space="preserve">02.02.2 - </t>
    </r>
    <r>
      <rPr>
        <sz val="10"/>
        <rFont val="Arial"/>
        <family val="2"/>
      </rPr>
      <t>Aprimorar controle de ocorrências de acidentes sem afastamentos e quase acidentes</t>
    </r>
    <r>
      <rPr>
        <b/>
        <sz val="10"/>
        <rFont val="Arial"/>
        <family val="2"/>
      </rPr>
      <t>.</t>
    </r>
    <r>
      <rPr>
        <sz val="10"/>
        <rFont val="Arial"/>
        <family val="2"/>
      </rPr>
      <t xml:space="preserve">
</t>
    </r>
    <r>
      <rPr>
        <b/>
        <sz val="10"/>
        <rFont val="Arial"/>
        <family val="2"/>
      </rPr>
      <t xml:space="preserve">02.02.3 </t>
    </r>
    <r>
      <rPr>
        <sz val="10"/>
        <rFont val="Arial"/>
        <family val="2"/>
      </rPr>
      <t>- Identificação de segurança nas tarefas das IT's das maquinas modelos de TPM</t>
    </r>
  </si>
  <si>
    <r>
      <t>03.01.01 - 
03.01.02 -
03.01.03 -</t>
    </r>
    <r>
      <rPr>
        <sz val="10"/>
        <rFont val="Arial"/>
        <family val="2"/>
      </rPr>
      <t xml:space="preserve"> </t>
    </r>
  </si>
  <si>
    <r>
      <rPr>
        <b/>
        <sz val="10"/>
        <rFont val="Arial"/>
        <family val="2"/>
      </rPr>
      <t>04.01.1</t>
    </r>
    <r>
      <rPr>
        <sz val="10"/>
        <rFont val="Arial"/>
        <family val="2"/>
      </rPr>
      <t xml:space="preserve"> Aumentar MTBF e reduzir MTTR no pilar GA</t>
    </r>
  </si>
  <si>
    <t>Preparação para Certificação FSSC</t>
  </si>
  <si>
    <t>Turn Over e Absenteísmo</t>
  </si>
  <si>
    <t>Plano de Ação da Matriz QM-Material+Método</t>
  </si>
  <si>
    <t>Plano de Ação da Matriz QM-Máquinas</t>
  </si>
  <si>
    <t>Performar os Custos Indiretos de Produção</t>
  </si>
  <si>
    <t>Trabalho Padronizado</t>
  </si>
  <si>
    <t>Plano de Ação da Matriz QM-MO</t>
  </si>
  <si>
    <t>Controle do Processo - Intelup</t>
  </si>
  <si>
    <t>Classificação ABC de Equipamentos</t>
  </si>
  <si>
    <t>Boas Práticas de Fabricação</t>
  </si>
  <si>
    <t>Matriz de RAC e Avaliação de Desenvolvimento</t>
  </si>
  <si>
    <t>Cadeia de Ajuda Controle de Processo</t>
  </si>
  <si>
    <t>Gestão do PCM</t>
  </si>
  <si>
    <t>Reduzir os custos de Não Qualidade (Perdas Físicas)</t>
  </si>
  <si>
    <t>Avanços da Estabilidade Básica (5S, Beleza Básica, Higienização, Limpeza)</t>
  </si>
  <si>
    <t>Avaliação de Desempenho</t>
  </si>
  <si>
    <t>Projetos de Melhoria Focada</t>
  </si>
  <si>
    <t>Aumento da Capabilidade de Máquina Cm/CmK</t>
  </si>
  <si>
    <t>Reduzir Custos de Manutenção</t>
  </si>
  <si>
    <t>Reclamações de Clientes</t>
  </si>
  <si>
    <t>Avanço da Gestão Autônoma</t>
  </si>
  <si>
    <t>Aumento da Capabilidade de Processo Cp/CpK</t>
  </si>
  <si>
    <t>Análise de Falha - AQF</t>
  </si>
  <si>
    <t>Assertividade na aplicação do CAPEX</t>
  </si>
  <si>
    <t>Manutenção da Certificação Halal</t>
  </si>
  <si>
    <t>Capacitação Técnica Operacional</t>
  </si>
  <si>
    <t>Garantia da Qualidade de Produto</t>
  </si>
  <si>
    <t>Redução dos Riscos Industriais</t>
  </si>
  <si>
    <t>Adequações as Demandas Anvisa / Fean</t>
  </si>
  <si>
    <t>Desenvolvimento da Liderança</t>
  </si>
  <si>
    <t>Segurança do Alimento</t>
  </si>
  <si>
    <t>01 Margem Bruta (YTD) em relação ao  BGT-25</t>
  </si>
  <si>
    <t>min. 40%</t>
  </si>
  <si>
    <t>01.01 Quantidade correções / desvios da Margem Bruta</t>
  </si>
  <si>
    <t>50% (mensal)</t>
  </si>
  <si>
    <t>03.01 Certificar ISO9001</t>
  </si>
  <si>
    <t>01.02 Atendimento aos Volumes de Vendas  (Qtde) do Budget</t>
  </si>
  <si>
    <t>100% (acumulado)</t>
  </si>
  <si>
    <t>03.02 Reclamações NC de Clientes (mensal)</t>
  </si>
  <si>
    <t>01.03 Implementar o Stage gate dos projetos em andamento</t>
  </si>
  <si>
    <t>01.04 Garantir lançamento dos Novos Produtos previstos</t>
  </si>
  <si>
    <t>100% (mensal)</t>
  </si>
  <si>
    <t>01.05 Completar o Mapa em 100% dos clientes nacionais</t>
  </si>
  <si>
    <t>01.06 Aumento visibilidade por clientes diretos</t>
  </si>
  <si>
    <t>min 50 (rever)</t>
  </si>
  <si>
    <t>01.07 TWC ( / Rolling12 Faturamento)</t>
  </si>
  <si>
    <t>max. 22% (rever)</t>
  </si>
  <si>
    <t>01.08 Eliminação de 80% dos problemas apontados na auditoria</t>
  </si>
  <si>
    <t>min. 80%</t>
  </si>
  <si>
    <t>01.09 Fluxo Caixa (TBD)</t>
  </si>
  <si>
    <t>TBD</t>
  </si>
  <si>
    <t>01.10 Aumento de prazo de pagamentos fornecedores</t>
  </si>
  <si>
    <t>01.11 Redução valor de estoque</t>
  </si>
  <si>
    <t>&lt;6,36%</t>
  </si>
  <si>
    <t>01.12 Redução prazo de recebimento de clientes</t>
  </si>
  <si>
    <t>01.14 Implantação sistema fiscal Tax One</t>
  </si>
  <si>
    <t>01.15 Margem Bruta por produto</t>
  </si>
  <si>
    <t>&gt;=20%</t>
  </si>
  <si>
    <t>01.16 Margem Bruta por cliente</t>
  </si>
  <si>
    <t>01.06.01.1 Treinamento com foco no produto</t>
  </si>
  <si>
    <t>1 por semestre</t>
  </si>
  <si>
    <t>01.06.01.2 Patrocinar eventos regionais</t>
  </si>
  <si>
    <t>1 por trimestre</t>
  </si>
  <si>
    <t>01.06.01.3 Divulgar comunicação Positiva</t>
  </si>
  <si>
    <t>01.06.02.1 Estratégia foco nos clientes diretos</t>
  </si>
  <si>
    <t>lançar campanhas</t>
  </si>
  <si>
    <t>01.06.02.2 Aumentar presença digital</t>
  </si>
  <si>
    <t>atingir 1º
Ranking Google</t>
  </si>
  <si>
    <t>01.07.01 - Fazer o mapeamento de produtos por clientes locais e exportação</t>
  </si>
  <si>
    <t>100% clientes 
Nacionais</t>
  </si>
  <si>
    <t>01.07.02 - Definir conteúdo do Mapa  de Produto visando necessidades estratégicas</t>
  </si>
  <si>
    <t>1º Trimestre</t>
  </si>
  <si>
    <t>01.07.03 - Estabelecer Plano de Ação para aumentar Market Share</t>
  </si>
  <si>
    <t>01.07.04 - Fazer monitoramento trimestral dos clientes e concorrentes</t>
  </si>
  <si>
    <t>Mensal</t>
  </si>
  <si>
    <t>01.03.1 Criar metodologia para gestão dos Novos Produtos baseado no metodologia Stage Gate</t>
  </si>
  <si>
    <t>01.11.01 - Desenvolver A3 para projeto da nova injetora.</t>
  </si>
  <si>
    <t>01.11.02 - Desenvolver A3 para projeto de utensilios domésticos.</t>
  </si>
  <si>
    <t>No activity planned yet</t>
  </si>
  <si>
    <t>Activity planned</t>
  </si>
  <si>
    <t>n.a.</t>
  </si>
  <si>
    <t xml:space="preserve">The project is on target to succeed. Planned timeline, costs and results will be achieved.
</t>
  </si>
  <si>
    <t>V</t>
  </si>
  <si>
    <t>The project has a problem but action is being taken to resolve this OR a potential problem has been identified and no action may be taken at this time but it is being carefully monitored. There is a risk planned timeline, costs and / or results will not be achieved.</t>
  </si>
  <si>
    <t>!</t>
  </si>
  <si>
    <t>s</t>
  </si>
  <si>
    <t>The project has a problem. Planned timeline, costs and/or objectives will not be achieved without additional remedial action</t>
  </si>
  <si>
    <t>X</t>
  </si>
  <si>
    <r>
      <rPr>
        <sz val="48"/>
        <rFont val="Wingdings"/>
        <charset val="2"/>
      </rPr>
      <t>J</t>
    </r>
    <r>
      <rPr>
        <sz val="48"/>
        <rFont val="Symbol"/>
        <family val="1"/>
        <charset val="2"/>
      </rPr>
      <t>Ö</t>
    </r>
    <r>
      <rPr>
        <sz val="48"/>
        <rFont val="Wingdings 2"/>
        <family val="1"/>
        <charset val="2"/>
      </rPr>
      <t>N</t>
    </r>
    <r>
      <rPr>
        <sz val="48"/>
        <rFont val="Wingdings"/>
        <charset val="2"/>
      </rPr>
      <t>CD</t>
    </r>
  </si>
  <si>
    <t>The project has either been stopped or is finished</t>
  </si>
  <si>
    <t>Data Validation Overall Level 2</t>
  </si>
  <si>
    <t>Data Validation Overall Level 3</t>
  </si>
  <si>
    <t>Nothing planned yet</t>
  </si>
  <si>
    <t>Activity planned, but not started</t>
  </si>
  <si>
    <t>In execution but late / less</t>
  </si>
  <si>
    <t>in execution, on track</t>
  </si>
  <si>
    <t xml:space="preserve">Finished </t>
  </si>
  <si>
    <t>Stopped</t>
  </si>
  <si>
    <t>Color coding:</t>
  </si>
  <si>
    <t>Dark</t>
  </si>
  <si>
    <t>Light</t>
  </si>
  <si>
    <t>SD 01</t>
  </si>
  <si>
    <t>117, 186, 255</t>
  </si>
  <si>
    <t>175, 215, 255</t>
  </si>
  <si>
    <t>SD 02</t>
  </si>
  <si>
    <t>47, 255, 116</t>
  </si>
  <si>
    <t>147, 255, 183</t>
  </si>
  <si>
    <t>SD 03</t>
  </si>
  <si>
    <t>255, 255, 13</t>
  </si>
  <si>
    <t>255, 255, 155</t>
  </si>
  <si>
    <t>SD 04</t>
  </si>
  <si>
    <t>249, 204, 11</t>
  </si>
  <si>
    <t>252, 228, 128</t>
  </si>
  <si>
    <t>SD 05</t>
  </si>
  <si>
    <t>255, 97, 101</t>
  </si>
  <si>
    <t>255, 159, 161</t>
  </si>
  <si>
    <t>Ampliar a capacidade humana de pensar, decidir e agir através da Tecnologia e IA aplicada em soluções que importam.</t>
  </si>
  <si>
    <t xml:space="preserve">•	 AI First. Virtude Sempre
•	 Human Centered AI
•	 Rigor e Excelência
•	 Clareza
•	 Empatia
</t>
  </si>
  <si>
    <t>Hoshin Kanri - Strategic Planning Summary - 2026  - exímIA Ventures</t>
  </si>
  <si>
    <t>Mercado e Clientes</t>
  </si>
  <si>
    <t>Processos Internos</t>
  </si>
  <si>
    <t>Aprendizado e Crescimento</t>
  </si>
  <si>
    <t>Perenidade</t>
  </si>
  <si>
    <t>Ampliar portifólio, crescer faturamento, ampliar parcerias, sucesso nos projetos, consolidação dos valores, princípios e propósito com avanços na construção da visão</t>
  </si>
  <si>
    <t>Ampliar portifólio e crescer faturamento</t>
  </si>
  <si>
    <t>Potencializar as oportunidades existentes</t>
  </si>
  <si>
    <t>Estruturar os processos internos do Negócio</t>
  </si>
  <si>
    <t>Extrair o máximo proveito dos programas de formação e desenvolvimento, modelar referências do mercado, utilizar a rede de contato, fortalecer a imagem no ecossistema de negócios, desenvolver o senso de acabativa, foco e gestão da rotina, desenvolver as novas habilidades para o negócio, mantendo-se atualizado na onda da IA.</t>
  </si>
  <si>
    <t>Desenvolver novas habilidades para o negócio</t>
  </si>
  <si>
    <t>Consolidar os projetos em andamento e desenvolver novas soluções que ampliem a base de clientes, modelando referências do mercado, aproveitando as oportunidades de novas parcerias na Harven Ventures, Argos, ICEC e outros, investindo na criação da comunidade exímia e novos modelos de negócios.</t>
  </si>
  <si>
    <r>
      <rPr>
        <b/>
        <sz val="11"/>
        <color rgb="FF000000"/>
        <rFont val="Arial"/>
        <family val="2"/>
      </rPr>
      <t xml:space="preserve">03.01.01 </t>
    </r>
    <r>
      <rPr>
        <sz val="11"/>
        <color rgb="FF000000"/>
        <rFont val="Arial"/>
        <family val="2"/>
      </rPr>
      <t xml:space="preserve">- Preparaparação institucional, Alinhamento estratégico e Setup Pedagógico
</t>
    </r>
    <r>
      <rPr>
        <b/>
        <sz val="11"/>
        <color rgb="FF000000"/>
        <rFont val="Arial"/>
        <family val="2"/>
      </rPr>
      <t xml:space="preserve">03.01.02 </t>
    </r>
    <r>
      <rPr>
        <sz val="11"/>
        <color rgb="FF000000"/>
        <rFont val="Arial"/>
        <family val="2"/>
      </rPr>
      <t xml:space="preserve">- Prova de conceito + Go-Live
</t>
    </r>
    <r>
      <rPr>
        <b/>
        <sz val="11"/>
        <color rgb="FF000000"/>
        <rFont val="Arial"/>
        <family val="2"/>
      </rPr>
      <t xml:space="preserve">03.01.03 </t>
    </r>
    <r>
      <rPr>
        <sz val="11"/>
        <color rgb="FF000000"/>
        <rFont val="Arial"/>
        <family val="2"/>
      </rPr>
      <t xml:space="preserve">- Piloto Ampliado
</t>
    </r>
    <r>
      <rPr>
        <b/>
        <sz val="11"/>
        <color rgb="FF000000"/>
        <rFont val="Arial"/>
        <family val="2"/>
      </rPr>
      <t xml:space="preserve">03.01.04 - </t>
    </r>
    <r>
      <rPr>
        <sz val="11"/>
        <color rgb="FF000000"/>
        <rFont val="Arial"/>
        <family val="2"/>
      </rPr>
      <t xml:space="preserve">Rollout gradual
</t>
    </r>
    <r>
      <rPr>
        <b/>
        <sz val="11"/>
        <color rgb="FF000000"/>
        <rFont val="Arial"/>
        <family val="2"/>
      </rPr>
      <t>03.01.05</t>
    </r>
    <r>
      <rPr>
        <sz val="11"/>
        <color rgb="FF000000"/>
        <rFont val="Arial"/>
        <family val="2"/>
      </rPr>
      <t xml:space="preserve"> - Institucionalização do produto</t>
    </r>
  </si>
  <si>
    <t>Implementar Tutor Harven</t>
  </si>
  <si>
    <t>Estabelecer contrato com o  ICEC</t>
  </si>
  <si>
    <t>03.02.01 - Mudar Casca e adaptar funcionalidades para o mercado corporativo
03.02.02 - Implementação de piloto corporativo
03.02.03 - Fazer Plano de GTM do exímIA Business Tutor</t>
  </si>
  <si>
    <r>
      <rPr>
        <b/>
        <sz val="11"/>
        <rFont val="Arial"/>
        <family val="2"/>
      </rPr>
      <t>04.03.01</t>
    </r>
    <r>
      <rPr>
        <sz val="11"/>
        <rFont val="Arial"/>
        <family val="2"/>
      </rPr>
      <t xml:space="preserve"> - Formalizar contrato de serviços com ICEC</t>
    </r>
  </si>
  <si>
    <t>Administrar o contrato Harven</t>
  </si>
  <si>
    <r>
      <rPr>
        <b/>
        <sz val="11"/>
        <rFont val="Arial"/>
        <family val="2"/>
      </rPr>
      <t xml:space="preserve">04.02.01 - </t>
    </r>
    <r>
      <rPr>
        <sz val="11"/>
        <rFont val="Arial"/>
        <family val="2"/>
      </rPr>
      <t>Estratégia de receita com exímIA Business Tutor</t>
    </r>
  </si>
  <si>
    <t>Gerar fontes de receita com excelência operacional</t>
  </si>
  <si>
    <r>
      <t>04.04.01</t>
    </r>
    <r>
      <rPr>
        <sz val="11"/>
        <color rgb="FF000000"/>
        <rFont val="Arial"/>
        <family val="2"/>
      </rPr>
      <t xml:space="preserve"> - Estratégia de monetização das soluções de excelencia operacional</t>
    </r>
  </si>
  <si>
    <r>
      <rPr>
        <b/>
        <sz val="11"/>
        <color rgb="FF000000"/>
        <rFont val="Arial"/>
        <family val="2"/>
      </rPr>
      <t>04.01.01</t>
    </r>
    <r>
      <rPr>
        <sz val="11"/>
        <color rgb="FF000000"/>
        <rFont val="Arial"/>
        <family val="2"/>
      </rPr>
      <t xml:space="preserve"> - Assegurar o cumprimento das clausulas contratuais exímIA - Harven 
</t>
    </r>
    <r>
      <rPr>
        <b/>
        <sz val="11"/>
        <color rgb="FF000000"/>
        <rFont val="Arial"/>
        <family val="2"/>
      </rPr>
      <t xml:space="preserve">04.01.02 - </t>
    </r>
    <r>
      <rPr>
        <sz val="11"/>
        <color rgb="FF000000"/>
        <rFont val="Arial"/>
        <family val="2"/>
      </rPr>
      <t>Avaliar novas oportunidades de ampliação do contrato Harven</t>
    </r>
  </si>
  <si>
    <t>Consolidar a visão Institucional exímIA</t>
  </si>
  <si>
    <r>
      <t xml:space="preserve">04.05.01 - </t>
    </r>
    <r>
      <rPr>
        <sz val="11"/>
        <color rgb="FF000000"/>
        <rFont val="Arial"/>
        <family val="2"/>
      </rPr>
      <t>Criar o manual de identidade exímIA (Ser exímIA)</t>
    </r>
  </si>
  <si>
    <t>Dez.25</t>
  </si>
  <si>
    <t>Propagar a imagem institucional da exímIA</t>
  </si>
  <si>
    <t>Otimizar a rotina de trabalho</t>
  </si>
  <si>
    <t>Roadmap de desenvolvimento do exímIA Business Tutor</t>
  </si>
  <si>
    <r>
      <rPr>
        <b/>
        <sz val="11"/>
        <color rgb="FF000000"/>
        <rFont val="Arial"/>
        <family val="2"/>
      </rPr>
      <t>02.02.01</t>
    </r>
    <r>
      <rPr>
        <sz val="11"/>
        <color rgb="FF000000"/>
        <rFont val="Arial"/>
        <family val="2"/>
      </rPr>
      <t xml:space="preserve"> - Identificar necessidades e oportunidades de aplicação
</t>
    </r>
    <r>
      <rPr>
        <b/>
        <sz val="11"/>
        <color rgb="FF000000"/>
        <rFont val="Arial"/>
        <family val="2"/>
      </rPr>
      <t>02.02.02</t>
    </r>
    <r>
      <rPr>
        <sz val="11"/>
        <color rgb="FF000000"/>
        <rFont val="Arial"/>
        <family val="2"/>
      </rPr>
      <t xml:space="preserve"> - Estruturar o processo de desenvolvimento
</t>
    </r>
    <r>
      <rPr>
        <b/>
        <sz val="11"/>
        <color rgb="FF000000"/>
        <rFont val="Arial"/>
        <family val="2"/>
      </rPr>
      <t>02.02.03</t>
    </r>
    <r>
      <rPr>
        <sz val="11"/>
        <color rgb="FF000000"/>
        <rFont val="Arial"/>
        <family val="2"/>
      </rPr>
      <t xml:space="preserve"> - Executar a prova de conceito (POC)
</t>
    </r>
    <r>
      <rPr>
        <b/>
        <sz val="11"/>
        <color rgb="FF000000"/>
        <rFont val="Arial"/>
        <family val="2"/>
      </rPr>
      <t>02.02.04</t>
    </r>
    <r>
      <rPr>
        <sz val="11"/>
        <color rgb="FF000000"/>
        <rFont val="Arial"/>
        <family val="2"/>
      </rPr>
      <t xml:space="preserve"> - Lançamento piloto 
</t>
    </r>
    <r>
      <rPr>
        <b/>
        <sz val="11"/>
        <color rgb="FF000000"/>
        <rFont val="Arial"/>
        <family val="2"/>
      </rPr>
      <t>02.02.05</t>
    </r>
    <r>
      <rPr>
        <sz val="11"/>
        <color rgb="FF000000"/>
        <rFont val="Arial"/>
        <family val="2"/>
      </rPr>
      <t xml:space="preserve"> - Adaptações, correções e otmizações</t>
    </r>
  </si>
  <si>
    <t>03.03.01 - Estruturar o Programa Educacional ICEC (Piloto)
03.03.02 - Executar a entrega com sucesso do programa</t>
  </si>
  <si>
    <t>Lançar o piloto da exímIA Academy</t>
  </si>
  <si>
    <r>
      <rPr>
        <b/>
        <sz val="11"/>
        <color rgb="FF000000"/>
        <rFont val="Arial"/>
        <family val="2"/>
      </rPr>
      <t>02.03.01</t>
    </r>
    <r>
      <rPr>
        <sz val="11"/>
        <color rgb="FF000000"/>
        <rFont val="Arial"/>
        <family val="2"/>
      </rPr>
      <t xml:space="preserve"> - Prospectar e modelar o conceito do negócio
</t>
    </r>
    <r>
      <rPr>
        <b/>
        <sz val="11"/>
        <color rgb="FF000000"/>
        <rFont val="Arial"/>
        <family val="2"/>
      </rPr>
      <t xml:space="preserve">02.03.02 </t>
    </r>
    <r>
      <rPr>
        <sz val="11"/>
        <color rgb="FF000000"/>
        <rFont val="Arial"/>
        <family val="2"/>
      </rPr>
      <t xml:space="preserve">- Desenvolver os playbooks e frameworks do negócio
</t>
    </r>
    <r>
      <rPr>
        <b/>
        <sz val="11"/>
        <color rgb="FF000000"/>
        <rFont val="Arial"/>
        <family val="2"/>
      </rPr>
      <t>02.03.03</t>
    </r>
    <r>
      <rPr>
        <sz val="11"/>
        <color rgb="FF000000"/>
        <rFont val="Arial"/>
        <family val="2"/>
      </rPr>
      <t xml:space="preserve"> - Criação da plataforma de educação exímIA</t>
    </r>
  </si>
  <si>
    <r>
      <t xml:space="preserve">02.01.01 - </t>
    </r>
    <r>
      <rPr>
        <sz val="11"/>
        <color rgb="FF000000"/>
        <rFont val="Arial"/>
        <family val="2"/>
      </rPr>
      <t>Implementar a gestão da rotina do dia-a-dia</t>
    </r>
    <r>
      <rPr>
        <b/>
        <sz val="11"/>
        <color rgb="FF000000"/>
        <rFont val="Arial"/>
        <family val="2"/>
      </rPr>
      <t xml:space="preserve">
02.01.02 - </t>
    </r>
    <r>
      <rPr>
        <sz val="11"/>
        <color rgb="FF000000"/>
        <rFont val="Arial"/>
        <family val="2"/>
      </rPr>
      <t>Criar frameworks para o desenvolvimento de produtos</t>
    </r>
    <r>
      <rPr>
        <b/>
        <sz val="11"/>
        <color rgb="FF000000"/>
        <rFont val="Arial"/>
        <family val="2"/>
      </rPr>
      <t xml:space="preserve">
02.01.03 - </t>
    </r>
    <r>
      <rPr>
        <sz val="11"/>
        <color rgb="FF000000"/>
        <rFont val="Arial"/>
        <family val="2"/>
      </rPr>
      <t>Construção de agentes facilitadores da gestão da rotina</t>
    </r>
  </si>
  <si>
    <t>Desenvolver o modelo de negócio em Excelência Empresarial</t>
  </si>
  <si>
    <t>Prospectar parceiros e clientes em Excelência Operacional</t>
  </si>
  <si>
    <r>
      <rPr>
        <b/>
        <sz val="11"/>
        <color rgb="FF000000"/>
        <rFont val="Arial"/>
        <family val="2"/>
      </rPr>
      <t>02.04.01</t>
    </r>
    <r>
      <rPr>
        <sz val="11"/>
        <color rgb="FF000000"/>
        <rFont val="Arial"/>
        <family val="2"/>
      </rPr>
      <t xml:space="preserve"> - Prospectar e modelar o conceito de negócio
</t>
    </r>
    <r>
      <rPr>
        <b/>
        <sz val="11"/>
        <color rgb="FF000000"/>
        <rFont val="Arial"/>
        <family val="2"/>
      </rPr>
      <t>02.04.02</t>
    </r>
    <r>
      <rPr>
        <sz val="11"/>
        <color rgb="FF000000"/>
        <rFont val="Arial"/>
        <family val="2"/>
      </rPr>
      <t xml:space="preserve"> - Criar um plano de desenvolvimento de produtos
</t>
    </r>
    <r>
      <rPr>
        <b/>
        <sz val="11"/>
        <color rgb="FF000000"/>
        <rFont val="Arial"/>
        <family val="2"/>
      </rPr>
      <t>02.04.03</t>
    </r>
    <r>
      <rPr>
        <sz val="11"/>
        <color rgb="FF000000"/>
        <rFont val="Arial"/>
        <family val="2"/>
      </rPr>
      <t xml:space="preserve"> - Pipeline de desenvolvimento de soluções em Excelencia Operacional</t>
    </r>
  </si>
  <si>
    <t>Criar o  processo de MKT e Comunicação institucional</t>
  </si>
  <si>
    <r>
      <rPr>
        <b/>
        <sz val="11"/>
        <color rgb="FF000000"/>
        <rFont val="Arial"/>
        <family val="2"/>
      </rPr>
      <t>02.05.01</t>
    </r>
    <r>
      <rPr>
        <sz val="11"/>
        <color rgb="FF000000"/>
        <rFont val="Arial"/>
        <family val="2"/>
      </rPr>
      <t xml:space="preserve"> -Criar e implementar plano de MKT e Comunicação da exímIA 
</t>
    </r>
    <r>
      <rPr>
        <b/>
        <sz val="11"/>
        <color rgb="FF000000"/>
        <rFont val="Arial"/>
        <family val="2"/>
      </rPr>
      <t>02.05.02</t>
    </r>
    <r>
      <rPr>
        <sz val="11"/>
        <color rgb="FF000000"/>
        <rFont val="Arial"/>
        <family val="2"/>
      </rPr>
      <t xml:space="preserve"> - Desenvolvimento do Site e Canais de comunicação
</t>
    </r>
    <r>
      <rPr>
        <b/>
        <sz val="11"/>
        <color rgb="FF000000"/>
        <rFont val="Arial"/>
        <family val="2"/>
      </rPr>
      <t>02.05.03</t>
    </r>
    <r>
      <rPr>
        <sz val="11"/>
        <color rgb="FF000000"/>
        <rFont val="Arial"/>
        <family val="2"/>
      </rPr>
      <t xml:space="preserve"> - Criar um fluxo otimizado de comunicação e redes sociais</t>
    </r>
  </si>
  <si>
    <r>
      <rPr>
        <b/>
        <sz val="11"/>
        <color rgb="FF000000"/>
        <rFont val="Arial"/>
        <family val="2"/>
      </rPr>
      <t>02.06.01</t>
    </r>
    <r>
      <rPr>
        <sz val="11"/>
        <color rgb="FF000000"/>
        <rFont val="Arial"/>
        <family val="2"/>
      </rPr>
      <t xml:space="preserve"> - Modelar e prospectar comunidades de startups (Link e Draper)
</t>
    </r>
    <r>
      <rPr>
        <b/>
        <sz val="11"/>
        <color rgb="FF000000"/>
        <rFont val="Arial"/>
        <family val="2"/>
      </rPr>
      <t xml:space="preserve">02.06.02 </t>
    </r>
    <r>
      <rPr>
        <sz val="11"/>
        <color rgb="FF000000"/>
        <rFont val="Arial"/>
        <family val="2"/>
      </rPr>
      <t xml:space="preserve">- Planejar estratégias de comunicação da comunidade de startups Harven
</t>
    </r>
    <r>
      <rPr>
        <b/>
        <sz val="11"/>
        <color rgb="FF000000"/>
        <rFont val="Arial"/>
        <family val="2"/>
      </rPr>
      <t xml:space="preserve">02.06.03 </t>
    </r>
    <r>
      <rPr>
        <sz val="11"/>
        <color rgb="FF000000"/>
        <rFont val="Arial"/>
        <family val="2"/>
      </rPr>
      <t>-  Estruturar portal de comunicação e interação da comunidade</t>
    </r>
  </si>
  <si>
    <t>Estruturar e desenvolver a comunidade de startups Harven</t>
  </si>
  <si>
    <t>Influenciar e fomentar a comunidade de startups Harven</t>
  </si>
  <si>
    <t>03.06.01 - Incentivar o movimento de startups na Harven</t>
  </si>
  <si>
    <t>Desenvolver processos de MKT e midias sociais, Roadmap e framework de desenvolvimento de produtos e soluções, estratégia de vendas, estruturar o OPB, focar na entrega do Harven.AI, estruturar rotinas de trabalho, plano de atuação na comunidade de startups Harven.</t>
  </si>
  <si>
    <t>Desenvolver posicionamento pessoal Claro</t>
  </si>
  <si>
    <t>Desenvolver Habilidades de Execução Solo</t>
  </si>
  <si>
    <r>
      <t xml:space="preserve">01.01.01 - </t>
    </r>
    <r>
      <rPr>
        <sz val="11"/>
        <color rgb="FF000000"/>
        <rFont val="Arial"/>
        <family val="2"/>
      </rPr>
      <t xml:space="preserve">Gestão e otimização do tempo
</t>
    </r>
    <r>
      <rPr>
        <b/>
        <sz val="11"/>
        <color rgb="FF000000"/>
        <rFont val="Arial"/>
        <family val="2"/>
      </rPr>
      <t xml:space="preserve">01.01.02 - </t>
    </r>
    <r>
      <rPr>
        <sz val="11"/>
        <color rgb="FF000000"/>
        <rFont val="Arial"/>
        <family val="2"/>
      </rPr>
      <t>Desenvolver a mentalidade exímIA</t>
    </r>
  </si>
  <si>
    <t>Dominar os fundamentos da educação corporativa</t>
  </si>
  <si>
    <r>
      <t>01.02.01</t>
    </r>
    <r>
      <rPr>
        <sz val="11"/>
        <color rgb="FF000000"/>
        <rFont val="Arial"/>
        <family val="2"/>
      </rPr>
      <t xml:space="preserve">- Pesquisar e prospectar modelos de aprendizagem organizacional
</t>
    </r>
    <r>
      <rPr>
        <b/>
        <sz val="11"/>
        <color rgb="FF000000"/>
        <rFont val="Arial"/>
        <family val="2"/>
      </rPr>
      <t>01.02.02</t>
    </r>
    <r>
      <rPr>
        <sz val="11"/>
        <color rgb="FF000000"/>
        <rFont val="Arial"/>
        <family val="2"/>
      </rPr>
      <t xml:space="preserve">- Arquitetar modelos de desenvolvimento de lideres corporativos
</t>
    </r>
  </si>
  <si>
    <t>Desenvolver habilidades de educação</t>
  </si>
  <si>
    <t>Aprender os modelos de Excelência Empresarial</t>
  </si>
  <si>
    <r>
      <t>01.04.01</t>
    </r>
    <r>
      <rPr>
        <sz val="11"/>
        <color rgb="FF000000"/>
        <rFont val="Arial"/>
        <family val="2"/>
      </rPr>
      <t xml:space="preserve">- Estudar os modelos WCM, Lean, TPM e SHINGO
</t>
    </r>
    <r>
      <rPr>
        <b/>
        <sz val="11"/>
        <color rgb="FF000000"/>
        <rFont val="Arial"/>
        <family val="2"/>
      </rPr>
      <t>01.04.02</t>
    </r>
    <r>
      <rPr>
        <sz val="11"/>
        <color rgb="FF000000"/>
        <rFont val="Arial"/>
        <family val="2"/>
      </rPr>
      <t>- Mapear as metodologias e ferramentas de Excelência Operacional</t>
    </r>
  </si>
  <si>
    <r>
      <t>01.05.01-</t>
    </r>
    <r>
      <rPr>
        <sz val="11"/>
        <color rgb="FF000000"/>
        <rFont val="Arial"/>
        <family val="2"/>
      </rPr>
      <t xml:space="preserve"> Aprofundar o posicionamento e Marca pessoal
</t>
    </r>
    <r>
      <rPr>
        <b/>
        <sz val="11"/>
        <color rgb="FF000000"/>
        <rFont val="Arial"/>
        <family val="2"/>
      </rPr>
      <t xml:space="preserve">01.05.02- </t>
    </r>
    <r>
      <rPr>
        <sz val="11"/>
        <color rgb="FF000000"/>
        <rFont val="Arial"/>
        <family val="2"/>
      </rPr>
      <t xml:space="preserve">Criação do plano de storytelling pessoal (Aguiari) 
</t>
    </r>
    <r>
      <rPr>
        <b/>
        <sz val="11"/>
        <color rgb="FF000000"/>
        <rFont val="Arial"/>
        <family val="2"/>
      </rPr>
      <t>01.05.03-</t>
    </r>
    <r>
      <rPr>
        <sz val="11"/>
        <color rgb="FF000000"/>
        <rFont val="Arial"/>
        <family val="2"/>
      </rPr>
      <t xml:space="preserve"> Desenvolvimento da </t>
    </r>
    <r>
      <rPr>
        <b/>
        <sz val="11"/>
        <color rgb="FF000000"/>
        <rFont val="Arial"/>
        <family val="2"/>
      </rPr>
      <t>Comunicação Persuasiva</t>
    </r>
    <r>
      <rPr>
        <sz val="11"/>
        <color rgb="FF000000"/>
        <rFont val="Arial"/>
        <family val="2"/>
      </rPr>
      <t xml:space="preserve">
</t>
    </r>
  </si>
  <si>
    <t>Fortalecer a imagem Founder</t>
  </si>
  <si>
    <r>
      <t>01.06.01-</t>
    </r>
    <r>
      <rPr>
        <sz val="10"/>
        <rFont val="Arial"/>
        <family val="2"/>
      </rPr>
      <t xml:space="preserve"> Aprofundar a linguagem empreendedora e de startups</t>
    </r>
    <r>
      <rPr>
        <b/>
        <sz val="10"/>
        <rFont val="Arial"/>
        <family val="2"/>
      </rPr>
      <t xml:space="preserve">
01.06.02- </t>
    </r>
    <r>
      <rPr>
        <sz val="10"/>
        <rFont val="Arial"/>
        <family val="2"/>
      </rPr>
      <t>Dominar as metodologias de Founder</t>
    </r>
  </si>
  <si>
    <r>
      <t>01.03.01</t>
    </r>
    <r>
      <rPr>
        <sz val="11"/>
        <color rgb="FF000000"/>
        <rFont val="Arial"/>
        <family val="2"/>
      </rPr>
      <t xml:space="preserve">- Técnicas didaticas e comunicação educacional
</t>
    </r>
    <r>
      <rPr>
        <b/>
        <sz val="11"/>
        <color rgb="FF000000"/>
        <rFont val="Arial"/>
        <family val="2"/>
      </rPr>
      <t>01.03.02</t>
    </r>
    <r>
      <rPr>
        <sz val="11"/>
        <color rgb="FF000000"/>
        <rFont val="Arial"/>
        <family val="2"/>
      </rPr>
      <t xml:space="preserve">- Fortalecer base conceitual de modelos ensino e aprendizagem
</t>
    </r>
    <r>
      <rPr>
        <b/>
        <sz val="11"/>
        <color rgb="FF000000"/>
        <rFont val="Arial"/>
        <family val="2"/>
      </rPr>
      <t xml:space="preserve">01.03.03- </t>
    </r>
    <r>
      <rPr>
        <sz val="11"/>
        <color rgb="FF000000"/>
        <rFont val="Arial"/>
        <family val="2"/>
      </rPr>
      <t xml:space="preserve">Modelagem dos programas de IA (Academia Lendária)
</t>
    </r>
    <r>
      <rPr>
        <b/>
        <sz val="11"/>
        <color rgb="FF000000"/>
        <rFont val="Arial"/>
        <family val="2"/>
      </rPr>
      <t>01.03.04</t>
    </r>
    <r>
      <rPr>
        <sz val="11"/>
        <color rgb="FF000000"/>
        <rFont val="Arial"/>
        <family val="2"/>
      </rPr>
      <t>- Fundamentar base teórica e técnica em IA</t>
    </r>
  </si>
  <si>
    <t>Prospectar novas oportunidades no ecossistema</t>
  </si>
  <si>
    <r>
      <t xml:space="preserve">04.06.01 - </t>
    </r>
    <r>
      <rPr>
        <sz val="11"/>
        <color rgb="FF000000"/>
        <rFont val="Arial"/>
        <family val="2"/>
      </rPr>
      <t>Identificar oportunidades</t>
    </r>
    <r>
      <rPr>
        <b/>
        <sz val="11"/>
        <color rgb="FF000000"/>
        <rFont val="Arial"/>
        <family val="2"/>
      </rPr>
      <t xml:space="preserve"> </t>
    </r>
    <r>
      <rPr>
        <sz val="11"/>
        <color rgb="FF000000"/>
        <rFont val="Arial"/>
        <family val="2"/>
      </rPr>
      <t>de negócios</t>
    </r>
    <r>
      <rPr>
        <b/>
        <sz val="11"/>
        <color rgb="FF000000"/>
        <rFont val="Arial"/>
        <family val="2"/>
      </rPr>
      <t xml:space="preserve"> </t>
    </r>
    <r>
      <rPr>
        <sz val="11"/>
        <color rgb="FF000000"/>
        <rFont val="Arial"/>
        <family val="2"/>
      </rPr>
      <t>e parcerias</t>
    </r>
    <r>
      <rPr>
        <b/>
        <sz val="11"/>
        <color rgb="FF000000"/>
        <rFont val="Arial"/>
        <family val="2"/>
      </rPr>
      <t xml:space="preserve"> </t>
    </r>
    <r>
      <rPr>
        <sz val="11"/>
        <color rgb="FF000000"/>
        <rFont val="Arial"/>
        <family val="2"/>
      </rPr>
      <t>na Dabi-Harven</t>
    </r>
    <r>
      <rPr>
        <b/>
        <sz val="11"/>
        <color rgb="FF000000"/>
        <rFont val="Arial"/>
        <family val="2"/>
      </rPr>
      <t xml:space="preserve">
04.06.02</t>
    </r>
    <r>
      <rPr>
        <sz val="11"/>
        <color rgb="FF000000"/>
        <rFont val="Arial"/>
        <family val="2"/>
      </rPr>
      <t xml:space="preserve"> - Identificar oportunidades de negócios e parcerias na Academia Lendária
</t>
    </r>
    <r>
      <rPr>
        <b/>
        <sz val="11"/>
        <color rgb="FF000000"/>
        <rFont val="Arial"/>
        <family val="2"/>
      </rPr>
      <t xml:space="preserve"> 04.06.03</t>
    </r>
    <r>
      <rPr>
        <sz val="11"/>
        <color rgb="FF000000"/>
        <rFont val="Arial"/>
        <family val="2"/>
      </rPr>
      <t xml:space="preserve"> - Identificar oportunidades de negócios e parcerias na base de networking</t>
    </r>
  </si>
  <si>
    <r>
      <rPr>
        <b/>
        <u/>
        <sz val="11"/>
        <color rgb="FF000000"/>
        <rFont val="Arial"/>
        <family val="2"/>
      </rPr>
      <t>03.05.01</t>
    </r>
    <r>
      <rPr>
        <u/>
        <sz val="11"/>
        <color rgb="FF000000"/>
        <rFont val="Arial"/>
        <family val="2"/>
      </rPr>
      <t xml:space="preserve"> - Estratégia de GTM institucional da exímIA
</t>
    </r>
    <r>
      <rPr>
        <b/>
        <u/>
        <sz val="11"/>
        <color rgb="FF000000"/>
        <rFont val="Arial"/>
        <family val="2"/>
      </rPr>
      <t xml:space="preserve">03.05.02 - </t>
    </r>
    <r>
      <rPr>
        <u/>
        <sz val="11"/>
        <color rgb="FF000000"/>
        <rFont val="Arial"/>
        <family val="2"/>
      </rPr>
      <t>Plano de fortalecimento de marca e redes sociais da exímIA</t>
    </r>
  </si>
  <si>
    <t>Iniciativa Tática</t>
  </si>
  <si>
    <t>Iniciativa Operacional</t>
  </si>
  <si>
    <t>Iniciativa tática</t>
  </si>
  <si>
    <t>Dimensão</t>
  </si>
  <si>
    <t>Driver estratégico</t>
  </si>
  <si>
    <t>Crescer faturamento do AI.Tutor via Corporativo</t>
  </si>
  <si>
    <t>Transformar o Ai.Tutor em solução corporativa</t>
  </si>
  <si>
    <t>03.04.01 - Prototipar soluções para as necessidades de excelência operacional 
03.04.02 - Identificar necessidades e potencias soluções e parceria com Argos</t>
  </si>
  <si>
    <t>Estruturar o modelo da exímIA Academy</t>
  </si>
  <si>
    <t>Ser uma empresa criativa, expoente e referência no desenvolvimento de soluções AI-First Human-Centered, com uma comunidade de pessoas virtuosas que compartilham do mesmo propósito.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</si>
</sst>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809]dd\ mmmm\ yyyy;@"/>
    <numFmt numFmtId="165" formatCode="00"/>
  </numFmts>
  <fonts count="77" x14ac:knownFonts="1">
    <font>
      <sz val="10"/>
      <name val="Arial"/>
    </font>
    <font>
      <sz val="11"/>
      <color theme="1"/>
      <name val="Calibri"/>
      <family val="2"/>
      <scheme val="minor"/>
    </font>
    <font>
      <sz val="11"/>
      <color theme="1"/>
      <name val="Calibri"/>
      <family val="2"/>
      <scheme val="minor"/>
    </font>
    <font>
      <sz val="10"/>
      <name val="Arial"/>
      <family val="2"/>
    </font>
    <font>
      <sz val="10"/>
      <color theme="0"/>
      <name val="Arial"/>
      <family val="2"/>
    </font>
    <font>
      <b/>
      <sz val="20"/>
      <color theme="0"/>
      <name val="Arial"/>
      <family val="2"/>
    </font>
    <font>
      <b/>
      <sz val="18"/>
      <color theme="0"/>
      <name val="Arial"/>
      <family val="2"/>
    </font>
    <font>
      <b/>
      <sz val="10"/>
      <name val="Arial"/>
      <family val="2"/>
    </font>
    <font>
      <u/>
      <sz val="11"/>
      <color theme="10"/>
      <name val="Calibri"/>
      <family val="2"/>
      <scheme val="minor"/>
    </font>
    <font>
      <sz val="11"/>
      <color theme="1"/>
      <name val="Calibri"/>
      <family val="2"/>
      <scheme val="minor"/>
    </font>
    <font>
      <sz val="10"/>
      <color theme="1"/>
      <name val="Calibri"/>
      <family val="2"/>
      <scheme val="minor"/>
    </font>
    <font>
      <b/>
      <sz val="8"/>
      <color rgb="FFFFFFFF"/>
      <name val="Arial"/>
      <family val="2"/>
    </font>
    <font>
      <sz val="8"/>
      <color theme="1"/>
      <name val="Calibri"/>
      <family val="2"/>
      <scheme val="minor"/>
    </font>
    <font>
      <sz val="8"/>
      <color rgb="FF000000"/>
      <name val="Arial"/>
      <family val="2"/>
    </font>
    <font>
      <sz val="8"/>
      <name val="Arial"/>
      <family val="2"/>
    </font>
    <font>
      <b/>
      <sz val="11"/>
      <color theme="1"/>
      <name val="Calibri"/>
      <family val="2"/>
      <scheme val="minor"/>
    </font>
    <font>
      <sz val="8"/>
      <color theme="1"/>
      <name val="Arial"/>
      <family val="2"/>
    </font>
    <font>
      <b/>
      <sz val="8"/>
      <color theme="0"/>
      <name val="Arial"/>
      <family val="2"/>
    </font>
    <font>
      <sz val="8"/>
      <color rgb="FFFFFFFF"/>
      <name val="Arial"/>
      <family val="2"/>
    </font>
    <font>
      <sz val="18"/>
      <color theme="1"/>
      <name val="Calibri"/>
      <family val="2"/>
      <scheme val="minor"/>
    </font>
    <font>
      <sz val="18"/>
      <color theme="1"/>
      <name val="Arial"/>
      <family val="2"/>
    </font>
    <font>
      <sz val="11"/>
      <color theme="0" tint="-4.9989318521683403E-2"/>
      <name val="Calibri"/>
      <family val="2"/>
      <scheme val="minor"/>
    </font>
    <font>
      <sz val="9"/>
      <color indexed="81"/>
      <name val="Tahoma"/>
      <family val="2"/>
    </font>
    <font>
      <b/>
      <sz val="9"/>
      <color indexed="81"/>
      <name val="Tahoma"/>
      <family val="2"/>
    </font>
    <font>
      <b/>
      <sz val="11"/>
      <color theme="1"/>
      <name val="Arial"/>
      <family val="2"/>
    </font>
    <font>
      <sz val="10"/>
      <color rgb="FF000000"/>
      <name val="Arial"/>
      <family val="2"/>
    </font>
    <font>
      <b/>
      <sz val="10"/>
      <color rgb="FF000000"/>
      <name val="Arial"/>
      <family val="2"/>
    </font>
    <font>
      <sz val="12"/>
      <color theme="0" tint="-0.14999847407452621"/>
      <name val="Arial"/>
      <family val="2"/>
    </font>
    <font>
      <sz val="10"/>
      <color theme="0" tint="-0.14999847407452621"/>
      <name val="Arial"/>
      <family val="2"/>
    </font>
    <font>
      <i/>
      <sz val="11"/>
      <color theme="1"/>
      <name val="Calibri"/>
      <family val="2"/>
      <scheme val="minor"/>
    </font>
    <font>
      <sz val="11"/>
      <color theme="0"/>
      <name val="Calibri"/>
      <family val="2"/>
      <scheme val="minor"/>
    </font>
    <font>
      <sz val="10"/>
      <color theme="1"/>
      <name val="Arial"/>
      <family val="2"/>
    </font>
    <font>
      <sz val="12"/>
      <color theme="1"/>
      <name val="Arial"/>
      <family val="2"/>
    </font>
    <font>
      <sz val="22"/>
      <color theme="1"/>
      <name val="Arial"/>
      <family val="2"/>
    </font>
    <font>
      <b/>
      <sz val="8"/>
      <name val="Arial"/>
      <family val="2"/>
    </font>
    <font>
      <sz val="12"/>
      <name val="Arial"/>
      <family val="2"/>
    </font>
    <font>
      <sz val="10"/>
      <name val="Arial"/>
      <family val="2"/>
    </font>
    <font>
      <sz val="14"/>
      <name val="Arial"/>
      <family val="2"/>
    </font>
    <font>
      <sz val="9"/>
      <name val="Arial"/>
      <family val="2"/>
    </font>
    <font>
      <b/>
      <sz val="12"/>
      <name val="Arial"/>
      <family val="2"/>
    </font>
    <font>
      <b/>
      <sz val="18"/>
      <name val="Arial"/>
      <family val="2"/>
    </font>
    <font>
      <b/>
      <sz val="20"/>
      <name val="Arial"/>
      <family val="2"/>
    </font>
    <font>
      <sz val="48"/>
      <name val="Wingdings 2"/>
      <family val="1"/>
      <charset val="2"/>
    </font>
    <font>
      <sz val="10"/>
      <name val="Wingdings 2"/>
      <family val="1"/>
      <charset val="2"/>
    </font>
    <font>
      <sz val="48"/>
      <name val="Arial"/>
      <family val="2"/>
    </font>
    <font>
      <sz val="11"/>
      <name val="Calibri"/>
      <family val="2"/>
      <scheme val="minor"/>
    </font>
    <font>
      <sz val="11"/>
      <name val="Arial"/>
      <family val="2"/>
    </font>
    <font>
      <sz val="11"/>
      <color theme="1"/>
      <name val="Arial"/>
      <family val="2"/>
    </font>
    <font>
      <b/>
      <sz val="11"/>
      <name val="Arial"/>
      <family val="2"/>
    </font>
    <font>
      <sz val="48"/>
      <name val="Wingdings"/>
      <charset val="2"/>
    </font>
    <font>
      <sz val="48"/>
      <name val="Symbol"/>
      <family val="1"/>
      <charset val="2"/>
    </font>
    <font>
      <sz val="10"/>
      <name val="Webdings"/>
      <family val="1"/>
      <charset val="2"/>
    </font>
    <font>
      <sz val="10"/>
      <name val="Forte"/>
      <family val="4"/>
    </font>
    <font>
      <b/>
      <sz val="11"/>
      <color rgb="FF000000"/>
      <name val="Arial"/>
      <family val="2"/>
    </font>
    <font>
      <b/>
      <sz val="36"/>
      <name val="Wingdings"/>
      <charset val="2"/>
    </font>
    <font>
      <b/>
      <sz val="48"/>
      <name val="Wingdings"/>
      <charset val="2"/>
    </font>
    <font>
      <b/>
      <sz val="14"/>
      <name val="Arial"/>
      <family val="2"/>
    </font>
    <font>
      <b/>
      <sz val="16"/>
      <name val="Arial"/>
      <family val="2"/>
    </font>
    <font>
      <b/>
      <sz val="18"/>
      <color theme="1"/>
      <name val="Calibri"/>
      <family val="2"/>
      <scheme val="minor"/>
    </font>
    <font>
      <sz val="36"/>
      <name val="Wingdings"/>
      <charset val="2"/>
    </font>
    <font>
      <sz val="10"/>
      <name val="Arial"/>
      <family val="2"/>
    </font>
    <font>
      <b/>
      <i/>
      <sz val="14"/>
      <name val="Arial"/>
      <family val="2"/>
    </font>
    <font>
      <sz val="10"/>
      <color rgb="FFFF0000"/>
      <name val="Arial"/>
      <family val="2"/>
    </font>
    <font>
      <b/>
      <sz val="20"/>
      <color rgb="FFFF0000"/>
      <name val="Arial"/>
      <family val="2"/>
    </font>
    <font>
      <b/>
      <sz val="9"/>
      <name val="Arial"/>
      <family val="2"/>
    </font>
    <font>
      <b/>
      <sz val="12"/>
      <color theme="1"/>
      <name val="Arial"/>
      <family val="2"/>
    </font>
    <font>
      <sz val="18"/>
      <name val="Arial"/>
      <family val="2"/>
    </font>
    <font>
      <sz val="22"/>
      <name val="Arial"/>
      <family val="2"/>
    </font>
    <font>
      <sz val="24"/>
      <name val="Arial"/>
      <family val="2"/>
    </font>
    <font>
      <sz val="11"/>
      <color rgb="FF000000"/>
      <name val="Arial"/>
      <family val="2"/>
    </font>
    <font>
      <sz val="18"/>
      <color rgb="FF000000"/>
      <name val="Arial"/>
      <family val="2"/>
    </font>
    <font>
      <sz val="11"/>
      <color rgb="FF000000"/>
      <name val="Arial"/>
      <family val="2"/>
    </font>
    <font>
      <u/>
      <sz val="12"/>
      <name val="Arial"/>
      <family val="2"/>
    </font>
    <font>
      <u/>
      <sz val="11"/>
      <color rgb="FF000000"/>
      <name val="Arial"/>
      <family val="2"/>
    </font>
    <font>
      <b/>
      <u/>
      <sz val="11"/>
      <color rgb="FF000000"/>
      <name val="Arial"/>
      <family val="2"/>
    </font>
    <font>
      <u/>
      <sz val="11"/>
      <name val="Arial"/>
      <family val="2"/>
    </font>
    <font>
      <u/>
      <sz val="10"/>
      <name val="Arial"/>
      <family val="2"/>
    </font>
  </fonts>
  <fills count="33">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75BAFF"/>
        <bgColor indexed="64"/>
      </patternFill>
    </fill>
    <fill>
      <patternFill patternType="solid">
        <fgColor rgb="FF2FFF74"/>
        <bgColor indexed="64"/>
      </patternFill>
    </fill>
    <fill>
      <patternFill patternType="solid">
        <fgColor rgb="FFFFFF0D"/>
        <bgColor indexed="64"/>
      </patternFill>
    </fill>
    <fill>
      <patternFill patternType="solid">
        <fgColor rgb="FFF9CC0B"/>
        <bgColor indexed="64"/>
      </patternFill>
    </fill>
    <fill>
      <patternFill patternType="solid">
        <fgColor rgb="FFFF6165"/>
        <bgColor indexed="64"/>
      </patternFill>
    </fill>
    <fill>
      <patternFill patternType="solid">
        <fgColor rgb="FFAFD7FF"/>
        <bgColor indexed="64"/>
      </patternFill>
    </fill>
    <fill>
      <patternFill patternType="solid">
        <fgColor rgb="FF93FFB7"/>
        <bgColor indexed="64"/>
      </patternFill>
    </fill>
    <fill>
      <patternFill patternType="solid">
        <fgColor rgb="FFFFFF9B"/>
        <bgColor indexed="64"/>
      </patternFill>
    </fill>
    <fill>
      <patternFill patternType="solid">
        <fgColor rgb="FFFCE480"/>
        <bgColor indexed="64"/>
      </patternFill>
    </fill>
    <fill>
      <patternFill patternType="solid">
        <fgColor rgb="FF000000"/>
        <bgColor indexed="64"/>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rgb="FFFF9FA1"/>
        <bgColor indexed="64"/>
      </patternFill>
    </fill>
    <fill>
      <patternFill patternType="solid">
        <fgColor rgb="FFFFC000"/>
        <bgColor indexed="64"/>
      </patternFill>
    </fill>
    <fill>
      <patternFill patternType="solid">
        <fgColor rgb="FF0070C0"/>
        <bgColor indexed="64"/>
      </patternFill>
    </fill>
    <fill>
      <patternFill patternType="solid">
        <fgColor theme="1" tint="0.14999847407452621"/>
        <bgColor indexed="64"/>
      </patternFill>
    </fill>
    <fill>
      <patternFill patternType="solid">
        <fgColor rgb="FF679E2A"/>
        <bgColor indexed="64"/>
      </patternFill>
    </fill>
    <fill>
      <patternFill patternType="solid">
        <fgColor theme="0" tint="-0.34998626667073579"/>
        <bgColor indexed="64"/>
      </patternFill>
    </fill>
    <fill>
      <patternFill patternType="solid">
        <fgColor rgb="FF00B050"/>
        <bgColor indexed="64"/>
      </patternFill>
    </fill>
    <fill>
      <patternFill patternType="solid">
        <fgColor theme="9" tint="0.59999389629810485"/>
        <bgColor indexed="64"/>
      </patternFill>
    </fill>
    <fill>
      <patternFill patternType="solid">
        <fgColor rgb="FFFFFFFF"/>
        <bgColor rgb="FF000000"/>
      </patternFill>
    </fill>
    <fill>
      <patternFill patternType="solid">
        <fgColor rgb="FF93FFB7"/>
        <bgColor rgb="FF000000"/>
      </patternFill>
    </fill>
    <fill>
      <patternFill patternType="solid">
        <fgColor rgb="FF2FFF74"/>
        <bgColor rgb="FF000000"/>
      </patternFill>
    </fill>
    <fill>
      <patternFill patternType="solid">
        <fgColor rgb="FFFF6165"/>
        <bgColor rgb="FF000000"/>
      </patternFill>
    </fill>
    <fill>
      <patternFill patternType="solid">
        <fgColor rgb="FFFF9FA1"/>
        <bgColor rgb="FF000000"/>
      </patternFill>
    </fill>
    <fill>
      <patternFill patternType="solid">
        <fgColor theme="2" tint="-9.9978637043366805E-2"/>
        <bgColor indexed="64"/>
      </patternFill>
    </fill>
  </fills>
  <borders count="125">
    <border>
      <left/>
      <right/>
      <top/>
      <bottom/>
      <diagonal/>
    </border>
    <border>
      <left style="thick">
        <color theme="0"/>
      </left>
      <right/>
      <top style="thick">
        <color theme="0"/>
      </top>
      <bottom/>
      <diagonal/>
    </border>
    <border>
      <left/>
      <right style="thick">
        <color theme="0"/>
      </right>
      <top style="thick">
        <color theme="0"/>
      </top>
      <bottom/>
      <diagonal/>
    </border>
    <border>
      <left style="thick">
        <color theme="0"/>
      </left>
      <right/>
      <top/>
      <bottom style="thick">
        <color theme="0"/>
      </bottom>
      <diagonal/>
    </border>
    <border>
      <left/>
      <right style="thick">
        <color theme="0"/>
      </right>
      <top/>
      <bottom style="thick">
        <color theme="0"/>
      </bottom>
      <diagonal/>
    </border>
    <border>
      <left/>
      <right style="thick">
        <color theme="0"/>
      </right>
      <top style="thick">
        <color theme="0"/>
      </top>
      <bottom style="thin">
        <color theme="0"/>
      </bottom>
      <diagonal/>
    </border>
    <border>
      <left/>
      <right style="thick">
        <color theme="0"/>
      </right>
      <top style="thin">
        <color theme="0"/>
      </top>
      <bottom style="thin">
        <color theme="0"/>
      </bottom>
      <diagonal/>
    </border>
    <border>
      <left/>
      <right style="thick">
        <color theme="0"/>
      </right>
      <top style="thin">
        <color theme="0"/>
      </top>
      <bottom style="thick">
        <color theme="0"/>
      </bottom>
      <diagonal/>
    </border>
    <border>
      <left/>
      <right/>
      <top/>
      <bottom style="thick">
        <color theme="0"/>
      </bottom>
      <diagonal/>
    </border>
    <border>
      <left/>
      <right/>
      <top style="thick">
        <color theme="0"/>
      </top>
      <bottom/>
      <diagonal/>
    </border>
    <border>
      <left style="medium">
        <color auto="1"/>
      </left>
      <right/>
      <top style="medium">
        <color auto="1"/>
      </top>
      <bottom/>
      <diagonal/>
    </border>
    <border>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diagonal/>
    </border>
    <border>
      <left/>
      <right style="thin">
        <color auto="1"/>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medium">
        <color auto="1"/>
      </right>
      <top style="thin">
        <color auto="1"/>
      </top>
      <bottom style="thin">
        <color auto="1"/>
      </bottom>
      <diagonal/>
    </border>
    <border>
      <left style="thin">
        <color auto="1"/>
      </left>
      <right/>
      <top/>
      <bottom/>
      <diagonal/>
    </border>
    <border>
      <left/>
      <right style="thin">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medium">
        <color auto="1"/>
      </left>
      <right/>
      <top/>
      <bottom style="thin">
        <color auto="1"/>
      </bottom>
      <diagonal/>
    </border>
    <border>
      <left/>
      <right style="thin">
        <color auto="1"/>
      </right>
      <top/>
      <bottom style="thin">
        <color auto="1"/>
      </bottom>
      <diagonal/>
    </border>
    <border>
      <left style="medium">
        <color auto="1"/>
      </left>
      <right/>
      <top/>
      <bottom style="medium">
        <color auto="1"/>
      </bottom>
      <diagonal/>
    </border>
    <border>
      <left/>
      <right style="thin">
        <color auto="1"/>
      </right>
      <top/>
      <bottom style="medium">
        <color auto="1"/>
      </bottom>
      <diagonal/>
    </border>
    <border>
      <left/>
      <right style="thin">
        <color auto="1"/>
      </right>
      <top style="thin">
        <color auto="1"/>
      </top>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right style="medium">
        <color auto="1"/>
      </right>
      <top style="medium">
        <color auto="1"/>
      </top>
      <bottom/>
      <diagonal/>
    </border>
    <border>
      <left/>
      <right style="medium">
        <color auto="1"/>
      </right>
      <top/>
      <bottom style="medium">
        <color auto="1"/>
      </bottom>
      <diagonal/>
    </border>
    <border>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thin">
        <color auto="1"/>
      </bottom>
      <diagonal/>
    </border>
    <border>
      <left style="thin">
        <color auto="1"/>
      </left>
      <right/>
      <top style="thin">
        <color auto="1"/>
      </top>
      <bottom/>
      <diagonal/>
    </border>
    <border>
      <left/>
      <right style="medium">
        <color auto="1"/>
      </right>
      <top style="thin">
        <color auto="1"/>
      </top>
      <bottom/>
      <diagonal/>
    </border>
    <border>
      <left style="thin">
        <color auto="1"/>
      </left>
      <right/>
      <top/>
      <bottom style="thin">
        <color auto="1"/>
      </bottom>
      <diagonal/>
    </border>
    <border>
      <left style="thin">
        <color auto="1"/>
      </left>
      <right/>
      <top/>
      <bottom style="medium">
        <color auto="1"/>
      </bottom>
      <diagonal/>
    </border>
    <border>
      <left/>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top style="medium">
        <color auto="1"/>
      </top>
      <bottom/>
      <diagonal/>
    </border>
    <border>
      <left style="thin">
        <color theme="0"/>
      </left>
      <right style="thin">
        <color theme="0"/>
      </right>
      <top style="medium">
        <color theme="0"/>
      </top>
      <bottom style="medium">
        <color theme="0"/>
      </bottom>
      <diagonal/>
    </border>
    <border>
      <left style="thin">
        <color theme="0"/>
      </left>
      <right style="medium">
        <color auto="1"/>
      </right>
      <top style="medium">
        <color theme="0"/>
      </top>
      <bottom style="medium">
        <color theme="0"/>
      </bottom>
      <diagonal/>
    </border>
    <border>
      <left style="medium">
        <color auto="1"/>
      </left>
      <right style="medium">
        <color auto="1"/>
      </right>
      <top/>
      <bottom style="medium">
        <color auto="1"/>
      </bottom>
      <diagonal/>
    </border>
    <border>
      <left style="thin">
        <color theme="0"/>
      </left>
      <right style="thin">
        <color theme="0"/>
      </right>
      <top/>
      <bottom style="medium">
        <color theme="0"/>
      </bottom>
      <diagonal/>
    </border>
    <border>
      <left style="thin">
        <color theme="0"/>
      </left>
      <right style="medium">
        <color auto="1"/>
      </right>
      <top/>
      <bottom style="medium">
        <color theme="0"/>
      </bottom>
      <diagonal/>
    </border>
    <border>
      <left style="medium">
        <color auto="1"/>
      </left>
      <right style="medium">
        <color auto="1"/>
      </right>
      <top style="medium">
        <color auto="1"/>
      </top>
      <bottom/>
      <diagonal/>
    </border>
    <border>
      <left style="medium">
        <color auto="1"/>
      </left>
      <right style="medium">
        <color auto="1"/>
      </right>
      <top/>
      <bottom/>
      <diagonal/>
    </border>
    <border>
      <left style="thin">
        <color theme="0"/>
      </left>
      <right style="thin">
        <color theme="0"/>
      </right>
      <top style="medium">
        <color auto="1"/>
      </top>
      <bottom style="medium">
        <color auto="1"/>
      </bottom>
      <diagonal/>
    </border>
    <border>
      <left style="thin">
        <color theme="0"/>
      </left>
      <right style="medium">
        <color auto="1"/>
      </right>
      <top style="medium">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diagonal/>
    </border>
    <border>
      <left/>
      <right style="thin">
        <color theme="0"/>
      </right>
      <top style="medium">
        <color theme="0"/>
      </top>
      <bottom style="medium">
        <color theme="0"/>
      </bottom>
      <diagonal/>
    </border>
    <border>
      <left/>
      <right style="thin">
        <color theme="0"/>
      </right>
      <top style="medium">
        <color auto="1"/>
      </top>
      <bottom style="medium">
        <color auto="1"/>
      </bottom>
      <diagonal/>
    </border>
    <border>
      <left/>
      <right style="thin">
        <color theme="0"/>
      </right>
      <top/>
      <bottom style="medium">
        <color theme="0"/>
      </bottom>
      <diagonal/>
    </border>
    <border>
      <left/>
      <right style="thin">
        <color theme="0"/>
      </right>
      <top style="medium">
        <color theme="0"/>
      </top>
      <bottom/>
      <diagonal/>
    </border>
    <border>
      <left style="thin">
        <color theme="0"/>
      </left>
      <right style="thin">
        <color theme="0"/>
      </right>
      <top style="medium">
        <color theme="0"/>
      </top>
      <bottom/>
      <diagonal/>
    </border>
    <border>
      <left style="thin">
        <color theme="0"/>
      </left>
      <right style="medium">
        <color auto="1"/>
      </right>
      <top style="medium">
        <color theme="0"/>
      </top>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medium">
        <color auto="1"/>
      </bottom>
      <diagonal/>
    </border>
    <border>
      <left style="thin">
        <color auto="1"/>
      </left>
      <right style="thin">
        <color auto="1"/>
      </right>
      <top/>
      <bottom/>
      <diagonal/>
    </border>
    <border>
      <left style="thin">
        <color auto="1"/>
      </left>
      <right style="medium">
        <color auto="1"/>
      </right>
      <top/>
      <bottom style="thin">
        <color auto="1"/>
      </bottom>
      <diagonal/>
    </border>
    <border>
      <left style="thick">
        <color theme="0"/>
      </left>
      <right/>
      <top style="thin">
        <color theme="0"/>
      </top>
      <bottom/>
      <diagonal/>
    </border>
    <border>
      <left style="thick">
        <color theme="0"/>
      </left>
      <right/>
      <top/>
      <bottom style="thin">
        <color theme="0"/>
      </bottom>
      <diagonal/>
    </border>
    <border>
      <left/>
      <right/>
      <top style="thin">
        <color auto="1"/>
      </top>
      <bottom/>
      <diagonal/>
    </border>
    <border>
      <left/>
      <right/>
      <top/>
      <bottom style="thin">
        <color theme="0"/>
      </bottom>
      <diagonal/>
    </border>
    <border>
      <left/>
      <right/>
      <top style="thin">
        <color theme="0"/>
      </top>
      <bottom style="thin">
        <color theme="0"/>
      </bottom>
      <diagonal/>
    </border>
    <border>
      <left style="thick">
        <color theme="0"/>
      </left>
      <right/>
      <top style="thin">
        <color theme="0"/>
      </top>
      <bottom style="thin">
        <color theme="0"/>
      </bottom>
      <diagonal/>
    </border>
    <border>
      <left/>
      <right style="thick">
        <color theme="0"/>
      </right>
      <top/>
      <bottom style="thin">
        <color theme="0"/>
      </bottom>
      <diagonal/>
    </border>
    <border>
      <left/>
      <right style="medium">
        <color auto="1"/>
      </right>
      <top style="thin">
        <color auto="1"/>
      </top>
      <bottom style="medium">
        <color auto="1"/>
      </bottom>
      <diagonal/>
    </border>
    <border>
      <left style="thin">
        <color auto="1"/>
      </left>
      <right style="thin">
        <color auto="1"/>
      </right>
      <top style="medium">
        <color auto="1"/>
      </top>
      <bottom/>
      <diagonal/>
    </border>
    <border>
      <left style="medium">
        <color theme="0"/>
      </left>
      <right style="medium">
        <color theme="0"/>
      </right>
      <top style="medium">
        <color theme="0"/>
      </top>
      <bottom/>
      <diagonal/>
    </border>
    <border>
      <left style="medium">
        <color theme="0"/>
      </left>
      <right style="medium">
        <color theme="0"/>
      </right>
      <top/>
      <bottom/>
      <diagonal/>
    </border>
    <border>
      <left/>
      <right style="thin">
        <color auto="1"/>
      </right>
      <top style="medium">
        <color auto="1"/>
      </top>
      <bottom style="thin">
        <color auto="1"/>
      </bottom>
      <diagonal/>
    </border>
    <border>
      <left style="medium">
        <color auto="1"/>
      </left>
      <right style="thin">
        <color auto="1"/>
      </right>
      <top style="medium">
        <color auto="1"/>
      </top>
      <bottom/>
      <diagonal/>
    </border>
    <border>
      <left style="medium">
        <color auto="1"/>
      </left>
      <right style="thin">
        <color auto="1"/>
      </right>
      <top/>
      <bottom style="medium">
        <color auto="1"/>
      </bottom>
      <diagonal/>
    </border>
    <border>
      <left style="medium">
        <color auto="1"/>
      </left>
      <right style="thin">
        <color auto="1"/>
      </right>
      <top/>
      <bottom style="thin">
        <color auto="1"/>
      </bottom>
      <diagonal/>
    </border>
    <border>
      <left style="medium">
        <color theme="0"/>
      </left>
      <right/>
      <top style="thick">
        <color theme="0"/>
      </top>
      <bottom/>
      <diagonal/>
    </border>
    <border>
      <left style="medium">
        <color theme="0"/>
      </left>
      <right/>
      <top/>
      <bottom/>
      <diagonal/>
    </border>
    <border>
      <left style="medium">
        <color theme="0"/>
      </left>
      <right/>
      <top/>
      <bottom style="thin">
        <color theme="0"/>
      </bottom>
      <diagonal/>
    </border>
    <border>
      <left style="thick">
        <color theme="0"/>
      </left>
      <right/>
      <top/>
      <bottom/>
      <diagonal/>
    </border>
    <border>
      <left/>
      <right style="thin">
        <color theme="0"/>
      </right>
      <top/>
      <bottom/>
      <diagonal/>
    </border>
    <border>
      <left style="thin">
        <color theme="0"/>
      </left>
      <right style="thick">
        <color theme="0"/>
      </right>
      <top/>
      <bottom/>
      <diagonal/>
    </border>
    <border>
      <left style="thick">
        <color theme="0"/>
      </left>
      <right style="thick">
        <color theme="0"/>
      </right>
      <top/>
      <bottom style="thick">
        <color theme="0"/>
      </bottom>
      <diagonal/>
    </border>
    <border>
      <left style="thick">
        <color theme="0"/>
      </left>
      <right style="thick">
        <color theme="0"/>
      </right>
      <top style="thick">
        <color theme="0"/>
      </top>
      <bottom style="thick">
        <color theme="0"/>
      </bottom>
      <diagonal/>
    </border>
    <border>
      <left style="thick">
        <color theme="0"/>
      </left>
      <right style="thick">
        <color theme="0"/>
      </right>
      <top style="thick">
        <color theme="0"/>
      </top>
      <bottom style="thin">
        <color theme="0"/>
      </bottom>
      <diagonal/>
    </border>
    <border>
      <left style="thick">
        <color theme="0"/>
      </left>
      <right/>
      <top style="thick">
        <color theme="0"/>
      </top>
      <bottom style="thick">
        <color theme="0"/>
      </bottom>
      <diagonal/>
    </border>
    <border>
      <left/>
      <right style="thick">
        <color theme="0"/>
      </right>
      <top style="thick">
        <color theme="0"/>
      </top>
      <bottom style="thick">
        <color theme="0"/>
      </bottom>
      <diagonal/>
    </border>
    <border>
      <left/>
      <right/>
      <top style="thick">
        <color theme="0"/>
      </top>
      <bottom style="thick">
        <color theme="0"/>
      </bottom>
      <diagonal/>
    </border>
    <border>
      <left/>
      <right style="medium">
        <color theme="0"/>
      </right>
      <top style="medium">
        <color theme="0"/>
      </top>
      <bottom style="medium">
        <color theme="0"/>
      </bottom>
      <diagonal/>
    </border>
    <border>
      <left style="medium">
        <color theme="0"/>
      </left>
      <right/>
      <top/>
      <bottom style="thick">
        <color theme="0"/>
      </bottom>
      <diagonal/>
    </border>
    <border>
      <left style="thick">
        <color theme="0"/>
      </left>
      <right style="thick">
        <color theme="0"/>
      </right>
      <top/>
      <bottom/>
      <diagonal/>
    </border>
    <border>
      <left/>
      <right style="thick">
        <color theme="0"/>
      </right>
      <top/>
      <bottom/>
      <diagonal/>
    </border>
    <border>
      <left/>
      <right style="thick">
        <color rgb="FFFFFFFF"/>
      </right>
      <top/>
      <bottom style="thick">
        <color rgb="FFFFFFFF"/>
      </bottom>
      <diagonal/>
    </border>
    <border>
      <left/>
      <right/>
      <top/>
      <bottom style="thick">
        <color rgb="FFFFFFFF"/>
      </bottom>
      <diagonal/>
    </border>
    <border>
      <left/>
      <right style="thick">
        <color rgb="FFFFFFFF"/>
      </right>
      <top style="thick">
        <color rgb="FFFFFFFF"/>
      </top>
      <bottom style="thick">
        <color rgb="FFFFFFFF"/>
      </bottom>
      <diagonal/>
    </border>
    <border>
      <left/>
      <right/>
      <top style="thick">
        <color rgb="FFFFFFFF"/>
      </top>
      <bottom style="thick">
        <color rgb="FFFFFFFF"/>
      </bottom>
      <diagonal/>
    </border>
    <border>
      <left style="thick">
        <color rgb="FFFFFFFF"/>
      </left>
      <right/>
      <top style="thick">
        <color rgb="FFFFFFFF"/>
      </top>
      <bottom style="thick">
        <color rgb="FFFFFFFF"/>
      </bottom>
      <diagonal/>
    </border>
    <border>
      <left style="thick">
        <color theme="0"/>
      </left>
      <right/>
      <top style="thick">
        <color theme="0"/>
      </top>
      <bottom style="thin">
        <color theme="0"/>
      </bottom>
      <diagonal/>
    </border>
    <border>
      <left style="thick">
        <color rgb="FFFFFFFF"/>
      </left>
      <right/>
      <top/>
      <bottom style="thick">
        <color rgb="FFFFFFFF"/>
      </bottom>
      <diagonal/>
    </border>
    <border>
      <left style="thick">
        <color rgb="FFFFFFFF"/>
      </left>
      <right/>
      <top style="thick">
        <color rgb="FFFFFFFF"/>
      </top>
      <bottom/>
      <diagonal/>
    </border>
    <border>
      <left/>
      <right/>
      <top style="thick">
        <color rgb="FFFFFFFF"/>
      </top>
      <bottom/>
      <diagonal/>
    </border>
    <border>
      <left/>
      <right style="thick">
        <color rgb="FFFFFFFF"/>
      </right>
      <top style="thick">
        <color rgb="FFFFFFFF"/>
      </top>
      <bottom/>
      <diagonal/>
    </border>
    <border>
      <left style="thick">
        <color rgb="FFFFFFFF"/>
      </left>
      <right/>
      <top style="thick">
        <color theme="0"/>
      </top>
      <bottom style="thick">
        <color theme="0"/>
      </bottom>
      <diagonal/>
    </border>
    <border>
      <left style="medium">
        <color theme="0"/>
      </left>
      <right style="thick">
        <color theme="0"/>
      </right>
      <top style="thick">
        <color theme="0"/>
      </top>
      <bottom/>
      <diagonal/>
    </border>
    <border>
      <left style="medium">
        <color theme="0"/>
      </left>
      <right style="thick">
        <color theme="0"/>
      </right>
      <top/>
      <bottom style="thin">
        <color theme="0"/>
      </bottom>
      <diagonal/>
    </border>
  </borders>
  <cellStyleXfs count="10">
    <xf numFmtId="0" fontId="0" fillId="0" borderId="0"/>
    <xf numFmtId="0" fontId="8" fillId="0" borderId="0" applyNumberFormat="0" applyFill="0" applyBorder="0" applyAlignment="0" applyProtection="0"/>
    <xf numFmtId="0" fontId="9" fillId="0" borderId="0"/>
    <xf numFmtId="0" fontId="3" fillId="0" borderId="0"/>
    <xf numFmtId="0" fontId="9" fillId="0" borderId="0"/>
    <xf numFmtId="9" fontId="36" fillId="0" borderId="0" applyFont="0" applyFill="0" applyBorder="0" applyAlignment="0" applyProtection="0"/>
    <xf numFmtId="0" fontId="2" fillId="0" borderId="0"/>
    <xf numFmtId="0" fontId="2" fillId="0" borderId="0"/>
    <xf numFmtId="43" fontId="60" fillId="0" borderId="0" applyFont="0" applyFill="0" applyBorder="0" applyAlignment="0" applyProtection="0"/>
    <xf numFmtId="0" fontId="1" fillId="0" borderId="0"/>
  </cellStyleXfs>
  <cellXfs count="790">
    <xf numFmtId="0" fontId="0" fillId="0" borderId="0" xfId="0"/>
    <xf numFmtId="0" fontId="0" fillId="2" borderId="0" xfId="0" applyFill="1"/>
    <xf numFmtId="0" fontId="4" fillId="2" borderId="0" xfId="0" applyFont="1" applyFill="1"/>
    <xf numFmtId="0" fontId="9" fillId="0" borderId="0" xfId="2"/>
    <xf numFmtId="0" fontId="10" fillId="0" borderId="0" xfId="2" applyFont="1"/>
    <xf numFmtId="0" fontId="12" fillId="0" borderId="0" xfId="2" applyFont="1"/>
    <xf numFmtId="0" fontId="13" fillId="2" borderId="16" xfId="4" applyFont="1" applyFill="1" applyBorder="1" applyAlignment="1">
      <alignment horizontal="left" vertical="center" wrapText="1" indent="1" readingOrder="1"/>
    </xf>
    <xf numFmtId="0" fontId="3" fillId="0" borderId="0" xfId="0" applyFont="1"/>
    <xf numFmtId="0" fontId="12" fillId="0" borderId="0" xfId="2" applyFont="1" applyAlignment="1">
      <alignment wrapText="1"/>
    </xf>
    <xf numFmtId="0" fontId="19" fillId="0" borderId="0" xfId="2" applyFont="1" applyAlignment="1">
      <alignment horizontal="center" vertical="center" wrapText="1"/>
    </xf>
    <xf numFmtId="0" fontId="19" fillId="0" borderId="0" xfId="2" applyFont="1" applyAlignment="1">
      <alignment wrapText="1"/>
    </xf>
    <xf numFmtId="0" fontId="20" fillId="0" borderId="0" xfId="2" applyFont="1" applyAlignment="1">
      <alignment horizontal="left"/>
    </xf>
    <xf numFmtId="0" fontId="13" fillId="2" borderId="26" xfId="4" applyFont="1" applyFill="1" applyBorder="1" applyAlignment="1">
      <alignment horizontal="left" vertical="center" wrapText="1" indent="1" readingOrder="1"/>
    </xf>
    <xf numFmtId="0" fontId="20" fillId="0" borderId="0" xfId="2" applyFont="1" applyAlignment="1">
      <alignment wrapText="1"/>
    </xf>
    <xf numFmtId="0" fontId="20" fillId="0" borderId="0" xfId="2" applyFont="1"/>
    <xf numFmtId="0" fontId="11" fillId="15" borderId="63" xfId="2" applyFont="1" applyFill="1" applyBorder="1" applyAlignment="1">
      <alignment horizontal="center" vertical="center" wrapText="1" readingOrder="1"/>
    </xf>
    <xf numFmtId="0" fontId="27" fillId="0" borderId="0" xfId="0" applyFont="1"/>
    <xf numFmtId="0" fontId="28" fillId="0" borderId="0" xfId="0" applyFont="1" applyAlignment="1">
      <alignment wrapText="1"/>
    </xf>
    <xf numFmtId="0" fontId="9" fillId="21" borderId="33" xfId="2" applyFill="1" applyBorder="1" applyAlignment="1">
      <alignment horizontal="center"/>
    </xf>
    <xf numFmtId="0" fontId="9" fillId="0" borderId="18" xfId="2" applyBorder="1"/>
    <xf numFmtId="0" fontId="9" fillId="17" borderId="33" xfId="2" applyFill="1" applyBorder="1" applyAlignment="1">
      <alignment horizontal="center"/>
    </xf>
    <xf numFmtId="0" fontId="9" fillId="20" borderId="33" xfId="2" applyFill="1" applyBorder="1" applyAlignment="1">
      <alignment horizontal="center"/>
    </xf>
    <xf numFmtId="0" fontId="9" fillId="18" borderId="33" xfId="2" applyFill="1" applyBorder="1" applyAlignment="1">
      <alignment horizontal="center"/>
    </xf>
    <xf numFmtId="0" fontId="9" fillId="23" borderId="33" xfId="2" applyFill="1" applyBorder="1" applyAlignment="1">
      <alignment horizontal="center"/>
    </xf>
    <xf numFmtId="0" fontId="21" fillId="22" borderId="34" xfId="2" applyFont="1" applyFill="1" applyBorder="1" applyAlignment="1">
      <alignment horizontal="center"/>
    </xf>
    <xf numFmtId="0" fontId="13" fillId="2" borderId="16" xfId="4" applyFont="1" applyFill="1" applyBorder="1" applyAlignment="1">
      <alignment vertical="center" wrapText="1" readingOrder="1"/>
    </xf>
    <xf numFmtId="0" fontId="13" fillId="2" borderId="26" xfId="4" applyFont="1" applyFill="1" applyBorder="1" applyAlignment="1">
      <alignment vertical="center" wrapText="1" readingOrder="1"/>
    </xf>
    <xf numFmtId="0" fontId="31" fillId="0" borderId="0" xfId="0" applyFont="1"/>
    <xf numFmtId="0" fontId="32" fillId="0" borderId="0" xfId="0" applyFont="1"/>
    <xf numFmtId="0" fontId="3" fillId="2" borderId="0" xfId="0" applyFont="1" applyFill="1"/>
    <xf numFmtId="0" fontId="33" fillId="0" borderId="0" xfId="0" applyFont="1" applyAlignment="1">
      <alignment wrapText="1"/>
    </xf>
    <xf numFmtId="0" fontId="33" fillId="0" borderId="0" xfId="0" applyFont="1" applyAlignment="1">
      <alignment horizontal="center"/>
    </xf>
    <xf numFmtId="0" fontId="30" fillId="0" borderId="0" xfId="2" applyFont="1"/>
    <xf numFmtId="0" fontId="9" fillId="24" borderId="33" xfId="2" applyFill="1" applyBorder="1" applyAlignment="1">
      <alignment horizontal="center" vertical="center"/>
    </xf>
    <xf numFmtId="0" fontId="9" fillId="0" borderId="18" xfId="2" applyBorder="1" applyAlignment="1">
      <alignment horizontal="left" vertical="top" indent="1"/>
    </xf>
    <xf numFmtId="0" fontId="9" fillId="17" borderId="33" xfId="2" applyFill="1" applyBorder="1" applyAlignment="1">
      <alignment horizontal="center" vertical="center"/>
    </xf>
    <xf numFmtId="0" fontId="42" fillId="0" borderId="0" xfId="0" applyFont="1" applyAlignment="1">
      <alignment horizontal="center" vertical="center"/>
    </xf>
    <xf numFmtId="0" fontId="43" fillId="0" borderId="0" xfId="0" applyFont="1"/>
    <xf numFmtId="0" fontId="9" fillId="16" borderId="33" xfId="2" applyFill="1" applyBorder="1" applyAlignment="1">
      <alignment horizontal="center" vertical="center"/>
    </xf>
    <xf numFmtId="0" fontId="44" fillId="0" borderId="0" xfId="0" applyFont="1" applyAlignment="1">
      <alignment horizontal="center" vertical="center"/>
    </xf>
    <xf numFmtId="0" fontId="9" fillId="25" borderId="34" xfId="2" applyFill="1" applyBorder="1" applyAlignment="1">
      <alignment horizontal="center" vertical="center"/>
    </xf>
    <xf numFmtId="0" fontId="9" fillId="25" borderId="33" xfId="2" applyFill="1" applyBorder="1" applyAlignment="1">
      <alignment horizontal="center" vertical="center"/>
    </xf>
    <xf numFmtId="0" fontId="9" fillId="17" borderId="34" xfId="2" applyFill="1" applyBorder="1" applyAlignment="1">
      <alignment horizontal="center" vertical="center"/>
    </xf>
    <xf numFmtId="0" fontId="44" fillId="0" borderId="0" xfId="0" applyFont="1"/>
    <xf numFmtId="0" fontId="51" fillId="0" borderId="0" xfId="0" applyFont="1"/>
    <xf numFmtId="0" fontId="52" fillId="0" borderId="0" xfId="0" applyFont="1"/>
    <xf numFmtId="0" fontId="3" fillId="26" borderId="34" xfId="0" applyFont="1" applyFill="1" applyBorder="1" applyAlignment="1">
      <alignment horizontal="center" vertical="center"/>
    </xf>
    <xf numFmtId="0" fontId="3" fillId="26" borderId="35" xfId="0" applyFont="1" applyFill="1" applyBorder="1" applyAlignment="1">
      <alignment horizontal="left" vertical="center" indent="1"/>
    </xf>
    <xf numFmtId="0" fontId="9" fillId="24" borderId="20" xfId="2" applyFill="1" applyBorder="1" applyAlignment="1">
      <alignment horizontal="left" vertical="center" wrapText="1" indent="1"/>
    </xf>
    <xf numFmtId="0" fontId="3" fillId="6" borderId="0" xfId="0" applyFont="1" applyFill="1"/>
    <xf numFmtId="0" fontId="3" fillId="11" borderId="0" xfId="0" applyFont="1" applyFill="1"/>
    <xf numFmtId="0" fontId="3" fillId="7" borderId="0" xfId="0" applyFont="1" applyFill="1"/>
    <xf numFmtId="0" fontId="3" fillId="12" borderId="0" xfId="0" applyFont="1" applyFill="1"/>
    <xf numFmtId="0" fontId="3" fillId="13" borderId="0" xfId="0" applyFont="1" applyFill="1"/>
    <xf numFmtId="0" fontId="3" fillId="8" borderId="0" xfId="0" applyFont="1" applyFill="1"/>
    <xf numFmtId="0" fontId="3" fillId="14" borderId="0" xfId="0" applyFont="1" applyFill="1"/>
    <xf numFmtId="0" fontId="3" fillId="9" borderId="0" xfId="0" applyFont="1" applyFill="1"/>
    <xf numFmtId="0" fontId="3" fillId="10" borderId="0" xfId="0" applyFont="1" applyFill="1"/>
    <xf numFmtId="0" fontId="3" fillId="19" borderId="0" xfId="0" applyFont="1" applyFill="1"/>
    <xf numFmtId="0" fontId="31" fillId="0" borderId="0" xfId="0" applyFont="1" applyAlignment="1">
      <alignment horizontal="center" wrapText="1"/>
    </xf>
    <xf numFmtId="0" fontId="3" fillId="26" borderId="39" xfId="0" applyFont="1" applyFill="1" applyBorder="1" applyAlignment="1">
      <alignment horizontal="left" vertical="center" indent="1"/>
    </xf>
    <xf numFmtId="0" fontId="24" fillId="9" borderId="54" xfId="2" applyFont="1" applyFill="1" applyBorder="1" applyAlignment="1">
      <alignment horizontal="right" vertical="center"/>
    </xf>
    <xf numFmtId="0" fontId="11" fillId="15" borderId="53" xfId="2" applyFont="1" applyFill="1" applyBorder="1" applyAlignment="1">
      <alignment horizontal="center" vertical="center" wrapText="1" readingOrder="1"/>
    </xf>
    <xf numFmtId="0" fontId="11" fillId="15" borderId="76" xfId="2" applyFont="1" applyFill="1" applyBorder="1" applyAlignment="1">
      <alignment horizontal="center" vertical="center" wrapText="1" readingOrder="1"/>
    </xf>
    <xf numFmtId="0" fontId="11" fillId="15" borderId="54" xfId="2" applyFont="1" applyFill="1" applyBorder="1" applyAlignment="1">
      <alignment vertical="center" wrapText="1" readingOrder="1"/>
    </xf>
    <xf numFmtId="0" fontId="13" fillId="2" borderId="46" xfId="4" applyFont="1" applyFill="1" applyBorder="1" applyAlignment="1" applyProtection="1">
      <alignment vertical="center" wrapText="1" readingOrder="1"/>
      <protection locked="0"/>
    </xf>
    <xf numFmtId="0" fontId="16" fillId="5" borderId="71" xfId="4" applyFont="1" applyFill="1" applyBorder="1" applyAlignment="1" applyProtection="1">
      <alignment horizontal="left" vertical="center"/>
      <protection locked="0"/>
    </xf>
    <xf numFmtId="0" fontId="16" fillId="5" borderId="64" xfId="4" applyFont="1" applyFill="1" applyBorder="1" applyAlignment="1" applyProtection="1">
      <alignment horizontal="left" vertical="center"/>
      <protection locked="0"/>
    </xf>
    <xf numFmtId="0" fontId="14" fillId="5" borderId="64" xfId="4" applyFont="1" applyFill="1" applyBorder="1" applyAlignment="1" applyProtection="1">
      <alignment horizontal="left" vertical="center"/>
      <protection locked="0"/>
    </xf>
    <xf numFmtId="0" fontId="14" fillId="5" borderId="65" xfId="4" applyFont="1" applyFill="1" applyBorder="1" applyAlignment="1" applyProtection="1">
      <alignment horizontal="left" vertical="center"/>
      <protection locked="0"/>
    </xf>
    <xf numFmtId="0" fontId="12" fillId="2" borderId="29" xfId="2" quotePrefix="1" applyFont="1" applyFill="1" applyBorder="1" applyAlignment="1" applyProtection="1">
      <alignment horizontal="left" indent="1"/>
      <protection locked="0"/>
    </xf>
    <xf numFmtId="0" fontId="13" fillId="2" borderId="26" xfId="4" applyFont="1" applyFill="1" applyBorder="1" applyAlignment="1" applyProtection="1">
      <alignment horizontal="left" vertical="center" wrapText="1" indent="1" readingOrder="1"/>
      <protection locked="0"/>
    </xf>
    <xf numFmtId="0" fontId="13" fillId="2" borderId="26" xfId="4" applyFont="1" applyFill="1" applyBorder="1" applyAlignment="1" applyProtection="1">
      <alignment vertical="center" wrapText="1" readingOrder="1"/>
      <protection locked="0"/>
    </xf>
    <xf numFmtId="0" fontId="16" fillId="5" borderId="72" xfId="4" applyFont="1" applyFill="1" applyBorder="1" applyAlignment="1" applyProtection="1">
      <alignment horizontal="left" vertical="center"/>
      <protection locked="0"/>
    </xf>
    <xf numFmtId="0" fontId="16" fillId="5" borderId="60" xfId="4" applyFont="1" applyFill="1" applyBorder="1" applyAlignment="1" applyProtection="1">
      <alignment horizontal="left" vertical="center"/>
      <protection locked="0"/>
    </xf>
    <xf numFmtId="0" fontId="14" fillId="5" borderId="60" xfId="4" applyFont="1" applyFill="1" applyBorder="1" applyAlignment="1" applyProtection="1">
      <alignment horizontal="left" vertical="center"/>
      <protection locked="0"/>
    </xf>
    <xf numFmtId="0" fontId="14" fillId="5" borderId="61" xfId="4" applyFont="1" applyFill="1" applyBorder="1" applyAlignment="1" applyProtection="1">
      <alignment horizontal="left" vertical="center"/>
      <protection locked="0"/>
    </xf>
    <xf numFmtId="0" fontId="12" fillId="2" borderId="21" xfId="2" quotePrefix="1" applyFont="1" applyFill="1" applyBorder="1" applyAlignment="1" applyProtection="1">
      <alignment horizontal="left" indent="1"/>
      <protection locked="0"/>
    </xf>
    <xf numFmtId="0" fontId="13" fillId="2" borderId="16" xfId="4" applyFont="1" applyFill="1" applyBorder="1" applyAlignment="1" applyProtection="1">
      <alignment horizontal="left" vertical="center" wrapText="1" indent="1" readingOrder="1"/>
      <protection locked="0"/>
    </xf>
    <xf numFmtId="0" fontId="13" fillId="2" borderId="16" xfId="4" applyFont="1" applyFill="1" applyBorder="1" applyAlignment="1" applyProtection="1">
      <alignment vertical="center" wrapText="1" readingOrder="1"/>
      <protection locked="0"/>
    </xf>
    <xf numFmtId="0" fontId="16" fillId="5" borderId="70" xfId="4" applyFont="1" applyFill="1" applyBorder="1" applyAlignment="1" applyProtection="1">
      <alignment horizontal="left" vertical="center"/>
      <protection locked="0"/>
    </xf>
    <xf numFmtId="0" fontId="16" fillId="5" borderId="57" xfId="4" applyFont="1" applyFill="1" applyBorder="1" applyAlignment="1" applyProtection="1">
      <alignment horizontal="left" vertical="center"/>
      <protection locked="0"/>
    </xf>
    <xf numFmtId="0" fontId="14" fillId="17" borderId="57" xfId="4" applyFont="1" applyFill="1" applyBorder="1" applyAlignment="1" applyProtection="1">
      <alignment horizontal="left" vertical="center"/>
      <protection locked="0"/>
    </xf>
    <xf numFmtId="0" fontId="14" fillId="5" borderId="57" xfId="4" applyFont="1" applyFill="1" applyBorder="1" applyAlignment="1" applyProtection="1">
      <alignment horizontal="left" vertical="center"/>
      <protection locked="0"/>
    </xf>
    <xf numFmtId="0" fontId="14" fillId="5" borderId="58" xfId="4" applyFont="1" applyFill="1" applyBorder="1" applyAlignment="1" applyProtection="1">
      <alignment horizontal="left" vertical="center"/>
      <protection locked="0"/>
    </xf>
    <xf numFmtId="0" fontId="12" fillId="2" borderId="32" xfId="2" quotePrefix="1" applyFont="1" applyFill="1" applyBorder="1" applyAlignment="1" applyProtection="1">
      <alignment horizontal="left" indent="1"/>
      <protection locked="0"/>
    </xf>
    <xf numFmtId="0" fontId="13" fillId="2" borderId="27" xfId="4" applyFont="1" applyFill="1" applyBorder="1" applyAlignment="1" applyProtection="1">
      <alignment horizontal="left" vertical="center" wrapText="1" indent="1" readingOrder="1"/>
      <protection locked="0"/>
    </xf>
    <xf numFmtId="0" fontId="13" fillId="2" borderId="27" xfId="4" applyFont="1" applyFill="1" applyBorder="1" applyAlignment="1" applyProtection="1">
      <alignment vertical="center" wrapText="1" readingOrder="1"/>
      <protection locked="0"/>
    </xf>
    <xf numFmtId="0" fontId="16" fillId="5" borderId="73" xfId="4" applyFont="1" applyFill="1" applyBorder="1" applyAlignment="1" applyProtection="1">
      <alignment horizontal="left" vertical="center"/>
      <protection locked="0"/>
    </xf>
    <xf numFmtId="0" fontId="16" fillId="5" borderId="74" xfId="4" applyFont="1" applyFill="1" applyBorder="1" applyAlignment="1" applyProtection="1">
      <alignment horizontal="left" vertical="center"/>
      <protection locked="0"/>
    </xf>
    <xf numFmtId="0" fontId="14" fillId="5" borderId="74" xfId="4" applyFont="1" applyFill="1" applyBorder="1" applyAlignment="1" applyProtection="1">
      <alignment horizontal="left" vertical="center"/>
      <protection locked="0"/>
    </xf>
    <xf numFmtId="0" fontId="14" fillId="5" borderId="75" xfId="4" applyFont="1" applyFill="1" applyBorder="1" applyAlignment="1" applyProtection="1">
      <alignment horizontal="left" vertical="center"/>
      <protection locked="0"/>
    </xf>
    <xf numFmtId="0" fontId="11" fillId="15" borderId="40" xfId="4" applyFont="1" applyFill="1" applyBorder="1" applyAlignment="1">
      <alignment horizontal="center" vertical="center" wrapText="1" readingOrder="1"/>
    </xf>
    <xf numFmtId="0" fontId="11" fillId="15" borderId="0" xfId="4" applyFont="1" applyFill="1" applyAlignment="1">
      <alignment horizontal="center" vertical="center" wrapText="1" readingOrder="1"/>
    </xf>
    <xf numFmtId="17" fontId="17" fillId="3" borderId="0" xfId="4" applyNumberFormat="1" applyFont="1" applyFill="1" applyAlignment="1">
      <alignment horizontal="center" vertical="center"/>
    </xf>
    <xf numFmtId="17" fontId="17" fillId="3" borderId="22" xfId="4" applyNumberFormat="1" applyFont="1" applyFill="1" applyBorder="1" applyAlignment="1">
      <alignment horizontal="center" vertical="center"/>
    </xf>
    <xf numFmtId="0" fontId="12" fillId="2" borderId="44" xfId="2" quotePrefix="1" applyFont="1" applyFill="1" applyBorder="1" applyAlignment="1">
      <alignment horizontal="left" indent="1"/>
    </xf>
    <xf numFmtId="0" fontId="13" fillId="2" borderId="45" xfId="4" applyFont="1" applyFill="1" applyBorder="1" applyAlignment="1">
      <alignment horizontal="left" vertical="center" wrapText="1" indent="1" readingOrder="1"/>
    </xf>
    <xf numFmtId="0" fontId="18" fillId="3" borderId="44" xfId="4" applyFont="1" applyFill="1" applyBorder="1" applyAlignment="1">
      <alignment horizontal="center" vertical="center" wrapText="1" readingOrder="1"/>
    </xf>
    <xf numFmtId="0" fontId="18" fillId="3" borderId="53" xfId="4" applyFont="1" applyFill="1" applyBorder="1" applyAlignment="1">
      <alignment horizontal="center" vertical="center" wrapText="1" readingOrder="1"/>
    </xf>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applyAlignment="1">
      <alignment wrapText="1"/>
    </xf>
    <xf numFmtId="0" fontId="5" fillId="3" borderId="0" xfId="0" quotePrefix="1" applyFont="1" applyFill="1" applyAlignment="1">
      <alignment horizontal="center" vertical="center"/>
    </xf>
    <xf numFmtId="0" fontId="7" fillId="5" borderId="7" xfId="0" applyFont="1" applyFill="1" applyBorder="1" applyAlignment="1">
      <alignment horizontal="left" vertical="center" wrapText="1" indent="1"/>
    </xf>
    <xf numFmtId="0" fontId="35" fillId="0" borderId="81" xfId="0" applyFont="1" applyBorder="1" applyAlignment="1">
      <alignment horizontal="left" vertical="center" indent="1"/>
    </xf>
    <xf numFmtId="0" fontId="6" fillId="4" borderId="91" xfId="0" applyFont="1" applyFill="1" applyBorder="1" applyAlignment="1">
      <alignment vertical="center" textRotation="90"/>
    </xf>
    <xf numFmtId="0" fontId="4" fillId="2" borderId="0" xfId="0" applyFont="1" applyFill="1" applyAlignment="1">
      <alignment horizontal="center" wrapText="1"/>
    </xf>
    <xf numFmtId="0" fontId="0" fillId="3" borderId="0" xfId="0" applyFill="1"/>
    <xf numFmtId="0" fontId="58" fillId="5" borderId="36" xfId="2" applyFont="1" applyFill="1" applyBorder="1" applyAlignment="1">
      <alignment horizontal="center" vertical="center" wrapText="1"/>
    </xf>
    <xf numFmtId="16" fontId="58" fillId="24" borderId="33" xfId="2" quotePrefix="1" applyNumberFormat="1" applyFont="1" applyFill="1" applyBorder="1" applyAlignment="1">
      <alignment horizontal="center" vertical="center"/>
    </xf>
    <xf numFmtId="0" fontId="58" fillId="25" borderId="33" xfId="2" applyFont="1" applyFill="1" applyBorder="1" applyAlignment="1">
      <alignment horizontal="center" vertical="center"/>
    </xf>
    <xf numFmtId="0" fontId="58" fillId="16" borderId="33" xfId="2" applyFont="1" applyFill="1" applyBorder="1" applyAlignment="1">
      <alignment horizontal="center" vertical="center"/>
    </xf>
    <xf numFmtId="0" fontId="58" fillId="17" borderId="33" xfId="2" applyFont="1" applyFill="1" applyBorder="1" applyAlignment="1">
      <alignment horizontal="center" vertical="center"/>
    </xf>
    <xf numFmtId="0" fontId="40" fillId="26" borderId="34" xfId="0" quotePrefix="1" applyFont="1" applyFill="1" applyBorder="1" applyAlignment="1">
      <alignment horizontal="center" vertical="center"/>
    </xf>
    <xf numFmtId="0" fontId="59" fillId="0" borderId="0" xfId="0" applyFont="1" applyAlignment="1">
      <alignment horizontal="center" vertical="center"/>
    </xf>
    <xf numFmtId="0" fontId="35" fillId="0" borderId="99" xfId="0" applyFont="1" applyBorder="1" applyAlignment="1">
      <alignment horizontal="left" vertical="center" indent="1"/>
    </xf>
    <xf numFmtId="0" fontId="35" fillId="0" borderId="0" xfId="0" applyFont="1" applyAlignment="1" applyProtection="1">
      <alignment horizontal="left" vertical="center" indent="1"/>
      <protection locked="0"/>
    </xf>
    <xf numFmtId="0" fontId="35" fillId="0" borderId="100" xfId="0" applyFont="1" applyBorder="1" applyAlignment="1" applyProtection="1">
      <alignment horizontal="left" vertical="center" indent="1"/>
      <protection locked="0"/>
    </xf>
    <xf numFmtId="0" fontId="35" fillId="0" borderId="101" xfId="0" applyFont="1" applyBorder="1" applyAlignment="1" applyProtection="1">
      <alignment horizontal="left" vertical="center" indent="1"/>
      <protection locked="0"/>
    </xf>
    <xf numFmtId="0" fontId="56" fillId="5" borderId="6" xfId="0" applyFont="1" applyFill="1" applyBorder="1" applyAlignment="1">
      <alignment horizontal="center" vertical="center" wrapText="1"/>
    </xf>
    <xf numFmtId="0" fontId="6" fillId="4" borderId="91" xfId="0" applyFont="1" applyFill="1" applyBorder="1" applyAlignment="1">
      <alignment horizontal="center" vertical="center" textRotation="90"/>
    </xf>
    <xf numFmtId="0" fontId="63" fillId="3" borderId="0" xfId="0" quotePrefix="1" applyFont="1" applyFill="1" applyAlignment="1">
      <alignment horizontal="center" vertical="center"/>
    </xf>
    <xf numFmtId="0" fontId="56" fillId="5" borderId="0" xfId="0" applyFont="1" applyFill="1" applyAlignment="1">
      <alignment horizontal="center" vertical="center" wrapText="1"/>
    </xf>
    <xf numFmtId="0" fontId="35" fillId="11" borderId="103" xfId="0" applyFont="1" applyFill="1" applyBorder="1" applyAlignment="1">
      <alignment horizontal="left" vertical="center"/>
    </xf>
    <xf numFmtId="0" fontId="35" fillId="28" borderId="103" xfId="0" applyFont="1" applyFill="1" applyBorder="1" applyAlignment="1">
      <alignment horizontal="left" vertical="center"/>
    </xf>
    <xf numFmtId="0" fontId="35" fillId="13" borderId="103" xfId="0" applyFont="1" applyFill="1" applyBorder="1" applyAlignment="1">
      <alignment horizontal="left" vertical="center"/>
    </xf>
    <xf numFmtId="0" fontId="35" fillId="14" borderId="103" xfId="0" applyFont="1" applyFill="1" applyBorder="1" applyAlignment="1">
      <alignment horizontal="left" vertical="center"/>
    </xf>
    <xf numFmtId="0" fontId="35" fillId="19" borderId="103" xfId="0" applyFont="1" applyFill="1" applyBorder="1" applyAlignment="1">
      <alignment horizontal="left" vertical="center"/>
    </xf>
    <xf numFmtId="0" fontId="39" fillId="6" borderId="103" xfId="0" applyFont="1" applyFill="1" applyBorder="1" applyAlignment="1">
      <alignment horizontal="center" vertical="center"/>
    </xf>
    <xf numFmtId="0" fontId="39" fillId="7" borderId="103" xfId="0" quotePrefix="1" applyFont="1" applyFill="1" applyBorder="1" applyAlignment="1">
      <alignment vertical="center"/>
    </xf>
    <xf numFmtId="0" fontId="39" fillId="8" borderId="103" xfId="0" quotePrefix="1" applyFont="1" applyFill="1" applyBorder="1" applyAlignment="1">
      <alignment horizontal="center" vertical="center"/>
    </xf>
    <xf numFmtId="0" fontId="39" fillId="9" borderId="103" xfId="0" quotePrefix="1" applyFont="1" applyFill="1" applyBorder="1" applyAlignment="1">
      <alignment horizontal="center" vertical="center"/>
    </xf>
    <xf numFmtId="0" fontId="39" fillId="10" borderId="103" xfId="0" quotePrefix="1" applyFont="1" applyFill="1" applyBorder="1" applyAlignment="1">
      <alignment horizontal="center" vertical="center"/>
    </xf>
    <xf numFmtId="0" fontId="0" fillId="0" borderId="103" xfId="0" quotePrefix="1" applyBorder="1"/>
    <xf numFmtId="16" fontId="39" fillId="0" borderId="103" xfId="1" quotePrefix="1" applyNumberFormat="1" applyFont="1" applyFill="1" applyBorder="1" applyAlignment="1" applyProtection="1">
      <alignment horizontal="center" vertical="center" wrapText="1"/>
    </xf>
    <xf numFmtId="0" fontId="39" fillId="0" borderId="103" xfId="0" quotePrefix="1" applyFont="1" applyBorder="1" applyAlignment="1">
      <alignment horizontal="center" vertical="center" wrapText="1"/>
    </xf>
    <xf numFmtId="0" fontId="55" fillId="11" borderId="103" xfId="0" applyFont="1" applyFill="1" applyBorder="1" applyAlignment="1">
      <alignment horizontal="center" vertical="center" wrapText="1"/>
    </xf>
    <xf numFmtId="0" fontId="54" fillId="12" borderId="103" xfId="0" applyFont="1" applyFill="1" applyBorder="1" applyAlignment="1">
      <alignment horizontal="center" vertical="center" wrapText="1"/>
    </xf>
    <xf numFmtId="0" fontId="55" fillId="0" borderId="103" xfId="0" applyFont="1" applyBorder="1" applyAlignment="1">
      <alignment horizontal="center" vertical="center" wrapText="1"/>
    </xf>
    <xf numFmtId="0" fontId="55" fillId="14" borderId="103" xfId="0" applyFont="1" applyFill="1" applyBorder="1" applyAlignment="1">
      <alignment horizontal="center" vertical="center" wrapText="1"/>
    </xf>
    <xf numFmtId="0" fontId="35" fillId="11" borderId="103" xfId="0" applyFont="1" applyFill="1" applyBorder="1" applyAlignment="1">
      <alignment horizontal="left" vertical="center" indent="1"/>
    </xf>
    <xf numFmtId="0" fontId="35" fillId="28" borderId="103" xfId="0" applyFont="1" applyFill="1" applyBorder="1" applyAlignment="1">
      <alignment horizontal="left" vertical="center" indent="1"/>
    </xf>
    <xf numFmtId="0" fontId="35" fillId="0" borderId="103" xfId="0" applyFont="1" applyBorder="1" applyAlignment="1">
      <alignment horizontal="left" vertical="center" indent="1"/>
    </xf>
    <xf numFmtId="0" fontId="35" fillId="14" borderId="103" xfId="0" applyFont="1" applyFill="1" applyBorder="1" applyAlignment="1">
      <alignment horizontal="left" vertical="center" indent="1"/>
    </xf>
    <xf numFmtId="0" fontId="35" fillId="9" borderId="103" xfId="0" quotePrefix="1" applyFont="1" applyFill="1" applyBorder="1" applyAlignment="1">
      <alignment horizontal="center" vertical="center"/>
    </xf>
    <xf numFmtId="0" fontId="35" fillId="19" borderId="103" xfId="0" applyFont="1" applyFill="1" applyBorder="1" applyAlignment="1">
      <alignment horizontal="left" vertical="center" indent="1"/>
    </xf>
    <xf numFmtId="10" fontId="7" fillId="11" borderId="103" xfId="0" applyNumberFormat="1" applyFont="1" applyFill="1" applyBorder="1" applyAlignment="1" applyProtection="1">
      <alignment horizontal="center" vertical="center"/>
      <protection locked="0"/>
    </xf>
    <xf numFmtId="9" fontId="7" fillId="12" borderId="103" xfId="8" applyNumberFormat="1" applyFont="1" applyFill="1" applyBorder="1" applyAlignment="1" applyProtection="1">
      <alignment horizontal="center" vertical="center"/>
      <protection locked="0"/>
    </xf>
    <xf numFmtId="9" fontId="7" fillId="14" borderId="103" xfId="5" applyFont="1" applyFill="1" applyBorder="1" applyAlignment="1" applyProtection="1">
      <alignment horizontal="center" vertical="center"/>
      <protection locked="0"/>
    </xf>
    <xf numFmtId="9" fontId="7" fillId="19" borderId="103" xfId="5" applyFont="1" applyFill="1" applyBorder="1" applyAlignment="1" applyProtection="1">
      <alignment horizontal="center" vertical="center"/>
      <protection locked="0"/>
    </xf>
    <xf numFmtId="9" fontId="3" fillId="11" borderId="103" xfId="0" applyNumberFormat="1" applyFont="1" applyFill="1" applyBorder="1" applyAlignment="1" applyProtection="1">
      <alignment horizontal="center" vertical="center"/>
      <protection locked="0"/>
    </xf>
    <xf numFmtId="9" fontId="3" fillId="13" borderId="103" xfId="0" applyNumberFormat="1" applyFont="1" applyFill="1" applyBorder="1" applyAlignment="1" applyProtection="1">
      <alignment horizontal="center" vertical="center"/>
      <protection locked="0"/>
    </xf>
    <xf numFmtId="9" fontId="3" fillId="19" borderId="103" xfId="0" quotePrefix="1" applyNumberFormat="1" applyFont="1" applyFill="1" applyBorder="1" applyAlignment="1" applyProtection="1">
      <alignment horizontal="center" vertical="center"/>
      <protection locked="0"/>
    </xf>
    <xf numFmtId="10" fontId="3" fillId="11" borderId="103" xfId="0" applyNumberFormat="1" applyFont="1" applyFill="1" applyBorder="1" applyAlignment="1" applyProtection="1">
      <alignment horizontal="center" vertical="center"/>
      <protection locked="0"/>
    </xf>
    <xf numFmtId="0" fontId="3" fillId="12" borderId="103" xfId="5" applyNumberFormat="1" applyFont="1" applyFill="1" applyBorder="1" applyAlignment="1" applyProtection="1">
      <alignment horizontal="center" vertical="center"/>
      <protection locked="0"/>
    </xf>
    <xf numFmtId="9" fontId="3" fillId="14" borderId="103" xfId="0" applyNumberFormat="1" applyFont="1" applyFill="1" applyBorder="1" applyAlignment="1" applyProtection="1">
      <alignment horizontal="center" vertical="center"/>
      <protection locked="0"/>
    </xf>
    <xf numFmtId="0" fontId="3" fillId="13" borderId="103" xfId="0" applyFont="1" applyFill="1" applyBorder="1" applyAlignment="1" applyProtection="1">
      <alignment horizontal="center" vertical="center"/>
      <protection locked="0"/>
    </xf>
    <xf numFmtId="9" fontId="3" fillId="12" borderId="103" xfId="0" applyNumberFormat="1" applyFont="1" applyFill="1" applyBorder="1" applyAlignment="1" applyProtection="1">
      <alignment horizontal="center" vertical="center"/>
      <protection locked="0"/>
    </xf>
    <xf numFmtId="17" fontId="3" fillId="13" borderId="103" xfId="0" applyNumberFormat="1" applyFont="1" applyFill="1" applyBorder="1" applyAlignment="1" applyProtection="1">
      <alignment horizontal="center" vertical="center"/>
      <protection locked="0"/>
    </xf>
    <xf numFmtId="3" fontId="3" fillId="11" borderId="103" xfId="0" applyNumberFormat="1" applyFont="1" applyFill="1" applyBorder="1" applyAlignment="1" applyProtection="1">
      <alignment horizontal="center" vertical="center"/>
      <protection locked="0"/>
    </xf>
    <xf numFmtId="17" fontId="3" fillId="13" borderId="104" xfId="0" applyNumberFormat="1" applyFont="1" applyFill="1" applyBorder="1" applyAlignment="1" applyProtection="1">
      <alignment horizontal="center" vertical="center"/>
      <protection locked="0"/>
    </xf>
    <xf numFmtId="9" fontId="3" fillId="12" borderId="103" xfId="0" quotePrefix="1" applyNumberFormat="1" applyFont="1" applyFill="1" applyBorder="1" applyAlignment="1" applyProtection="1">
      <alignment horizontal="center" vertical="center" wrapText="1"/>
      <protection locked="0"/>
    </xf>
    <xf numFmtId="2" fontId="64" fillId="13" borderId="103" xfId="5" applyNumberFormat="1" applyFont="1" applyFill="1" applyBorder="1" applyAlignment="1" applyProtection="1">
      <alignment horizontal="center" vertical="center"/>
      <protection locked="0"/>
    </xf>
    <xf numFmtId="0" fontId="3" fillId="14" borderId="105" xfId="0" quotePrefix="1" applyFont="1" applyFill="1" applyBorder="1" applyAlignment="1" applyProtection="1">
      <alignment horizontal="left" vertical="center" wrapText="1"/>
      <protection locked="0"/>
    </xf>
    <xf numFmtId="0" fontId="3" fillId="14" borderId="106" xfId="0" quotePrefix="1" applyFont="1" applyFill="1" applyBorder="1" applyAlignment="1" applyProtection="1">
      <alignment horizontal="left" vertical="center" wrapText="1"/>
      <protection locked="0"/>
    </xf>
    <xf numFmtId="9" fontId="3" fillId="14" borderId="103" xfId="0" quotePrefix="1" applyNumberFormat="1" applyFont="1" applyFill="1" applyBorder="1" applyAlignment="1" applyProtection="1">
      <alignment horizontal="center" vertical="center"/>
      <protection locked="0"/>
    </xf>
    <xf numFmtId="9" fontId="3" fillId="14" borderId="103" xfId="0" applyNumberFormat="1" applyFont="1" applyFill="1" applyBorder="1" applyAlignment="1" applyProtection="1">
      <alignment horizontal="center" vertical="center" wrapText="1"/>
      <protection locked="0"/>
    </xf>
    <xf numFmtId="0" fontId="59" fillId="0" borderId="108" xfId="0" applyFont="1" applyBorder="1" applyAlignment="1">
      <alignment horizontal="center" vertical="center"/>
    </xf>
    <xf numFmtId="0" fontId="59" fillId="12" borderId="108" xfId="0" applyFont="1" applyFill="1" applyBorder="1" applyAlignment="1">
      <alignment horizontal="center" vertical="center"/>
    </xf>
    <xf numFmtId="17" fontId="3" fillId="11" borderId="103" xfId="0" applyNumberFormat="1" applyFont="1" applyFill="1" applyBorder="1" applyAlignment="1" applyProtection="1">
      <alignment horizontal="center" vertical="center"/>
      <protection locked="0"/>
    </xf>
    <xf numFmtId="17" fontId="3" fillId="11" borderId="103" xfId="0" applyNumberFormat="1" applyFont="1" applyFill="1" applyBorder="1" applyAlignment="1" applyProtection="1">
      <alignment horizontal="center" vertical="center" wrapText="1"/>
      <protection locked="0"/>
    </xf>
    <xf numFmtId="0" fontId="3" fillId="12" borderId="103" xfId="0" applyFont="1" applyFill="1" applyBorder="1" applyAlignment="1" applyProtection="1">
      <alignment horizontal="center" vertical="center"/>
      <protection locked="0"/>
    </xf>
    <xf numFmtId="0" fontId="62" fillId="2" borderId="0" xfId="0" applyFont="1" applyFill="1"/>
    <xf numFmtId="17" fontId="3" fillId="13" borderId="110" xfId="0" applyNumberFormat="1" applyFont="1" applyFill="1" applyBorder="1" applyAlignment="1" applyProtection="1">
      <alignment horizontal="center" vertical="center"/>
      <protection locked="0"/>
    </xf>
    <xf numFmtId="9" fontId="3" fillId="19" borderId="103" xfId="0" quotePrefix="1" applyNumberFormat="1" applyFont="1" applyFill="1" applyBorder="1" applyAlignment="1" applyProtection="1">
      <alignment horizontal="center" vertical="center" wrapText="1"/>
      <protection locked="0"/>
    </xf>
    <xf numFmtId="0" fontId="3" fillId="12" borderId="103" xfId="0" quotePrefix="1" applyFont="1" applyFill="1" applyBorder="1" applyAlignment="1" applyProtection="1">
      <alignment horizontal="center" vertical="center"/>
      <protection locked="0"/>
    </xf>
    <xf numFmtId="0" fontId="5" fillId="3" borderId="0" xfId="0" applyFont="1" applyFill="1" applyAlignment="1">
      <alignment vertical="center"/>
    </xf>
    <xf numFmtId="0" fontId="6" fillId="3" borderId="0" xfId="0" quotePrefix="1" applyFont="1" applyFill="1" applyAlignment="1">
      <alignment horizontal="center" vertical="center"/>
    </xf>
    <xf numFmtId="0" fontId="39" fillId="7" borderId="103" xfId="0" quotePrefix="1" applyFont="1" applyFill="1" applyBorder="1" applyAlignment="1">
      <alignment horizontal="center" vertical="center"/>
    </xf>
    <xf numFmtId="0" fontId="0" fillId="2" borderId="0" xfId="0" applyFill="1" applyAlignment="1">
      <alignment horizontal="center"/>
    </xf>
    <xf numFmtId="0" fontId="35" fillId="28" borderId="103" xfId="0" applyFont="1" applyFill="1" applyBorder="1" applyAlignment="1">
      <alignment horizontal="center" vertical="center"/>
    </xf>
    <xf numFmtId="0" fontId="35" fillId="0" borderId="99" xfId="0" applyFont="1" applyBorder="1" applyAlignment="1">
      <alignment horizontal="center" vertical="center"/>
    </xf>
    <xf numFmtId="0" fontId="0" fillId="0" borderId="0" xfId="0" applyAlignment="1">
      <alignment horizontal="center"/>
    </xf>
    <xf numFmtId="0" fontId="35" fillId="14" borderId="103" xfId="0" applyFont="1" applyFill="1" applyBorder="1" applyAlignment="1">
      <alignment horizontal="center" vertical="center"/>
    </xf>
    <xf numFmtId="0" fontId="35" fillId="13" borderId="103" xfId="0" applyFont="1" applyFill="1" applyBorder="1" applyAlignment="1">
      <alignment horizontal="center" vertical="center"/>
    </xf>
    <xf numFmtId="0" fontId="35" fillId="19" borderId="103" xfId="0" applyFont="1" applyFill="1" applyBorder="1" applyAlignment="1">
      <alignment horizontal="center" vertical="center"/>
    </xf>
    <xf numFmtId="0" fontId="35" fillId="0" borderId="101" xfId="0" applyFont="1" applyBorder="1" applyAlignment="1" applyProtection="1">
      <alignment horizontal="center" vertical="center"/>
      <protection locked="0"/>
    </xf>
    <xf numFmtId="0" fontId="1" fillId="5" borderId="12" xfId="2" applyFont="1" applyFill="1" applyBorder="1" applyAlignment="1">
      <alignment horizontal="center" vertical="center" wrapText="1"/>
    </xf>
    <xf numFmtId="0" fontId="1" fillId="0" borderId="38" xfId="2" applyFont="1" applyBorder="1" applyAlignment="1">
      <alignment horizontal="left" vertical="center" indent="1"/>
    </xf>
    <xf numFmtId="0" fontId="1" fillId="24" borderId="20" xfId="2" applyFont="1" applyFill="1" applyBorder="1" applyAlignment="1">
      <alignment horizontal="left" vertical="center" wrapText="1" indent="1"/>
    </xf>
    <xf numFmtId="0" fontId="1" fillId="0" borderId="18" xfId="2" applyFont="1" applyBorder="1" applyAlignment="1">
      <alignment horizontal="left" vertical="center" indent="1"/>
    </xf>
    <xf numFmtId="0" fontId="1" fillId="25" borderId="16" xfId="2" applyFont="1" applyFill="1" applyBorder="1" applyAlignment="1">
      <alignment horizontal="left" vertical="center" indent="1"/>
    </xf>
    <xf numFmtId="0" fontId="1" fillId="0" borderId="18" xfId="2" applyFont="1" applyBorder="1" applyAlignment="1">
      <alignment horizontal="left" wrapText="1" indent="1"/>
    </xf>
    <xf numFmtId="0" fontId="1" fillId="16" borderId="20" xfId="2" applyFont="1" applyFill="1" applyBorder="1" applyAlignment="1">
      <alignment horizontal="left" vertical="center" indent="1"/>
    </xf>
    <xf numFmtId="0" fontId="1" fillId="0" borderId="18" xfId="2" applyFont="1" applyBorder="1" applyAlignment="1">
      <alignment horizontal="left" vertical="center" wrapText="1" indent="1"/>
    </xf>
    <xf numFmtId="0" fontId="1" fillId="17" borderId="20" xfId="2" applyFont="1" applyFill="1" applyBorder="1" applyAlignment="1">
      <alignment horizontal="left" vertical="center" indent="1"/>
    </xf>
    <xf numFmtId="0" fontId="1" fillId="0" borderId="39" xfId="2" applyFont="1" applyBorder="1" applyAlignment="1">
      <alignment horizontal="left" vertical="center" wrapText="1" indent="1"/>
    </xf>
    <xf numFmtId="0" fontId="1" fillId="0" borderId="0" xfId="2" applyFont="1"/>
    <xf numFmtId="0" fontId="1" fillId="5" borderId="36" xfId="2" applyFont="1" applyFill="1" applyBorder="1" applyAlignment="1">
      <alignment horizontal="center" vertical="center"/>
    </xf>
    <xf numFmtId="0" fontId="1" fillId="5" borderId="13" xfId="2" applyFont="1" applyFill="1" applyBorder="1" applyAlignment="1">
      <alignment horizontal="left" vertical="center" wrapText="1" indent="1"/>
    </xf>
    <xf numFmtId="0" fontId="1" fillId="24" borderId="23" xfId="2" applyFont="1" applyFill="1" applyBorder="1" applyAlignment="1">
      <alignment horizontal="left" vertical="center" wrapText="1" indent="1"/>
    </xf>
    <xf numFmtId="0" fontId="1" fillId="25" borderId="18" xfId="2" applyFont="1" applyFill="1" applyBorder="1" applyAlignment="1">
      <alignment horizontal="left" vertical="center" indent="1"/>
    </xf>
    <xf numFmtId="0" fontId="1" fillId="16" borderId="23" xfId="2" applyFont="1" applyFill="1" applyBorder="1" applyAlignment="1">
      <alignment horizontal="left" vertical="center" indent="1"/>
    </xf>
    <xf numFmtId="0" fontId="1" fillId="17" borderId="23" xfId="2" applyFont="1" applyFill="1" applyBorder="1" applyAlignment="1">
      <alignment horizontal="left" vertical="center" indent="1"/>
    </xf>
    <xf numFmtId="0" fontId="1" fillId="5" borderId="36" xfId="2" applyFont="1" applyFill="1" applyBorder="1" applyAlignment="1">
      <alignment horizontal="center" vertical="center" wrapText="1"/>
    </xf>
    <xf numFmtId="0" fontId="1" fillId="5" borderId="12" xfId="2" applyFont="1" applyFill="1" applyBorder="1" applyAlignment="1">
      <alignment horizontal="left" vertical="top" wrapText="1" indent="1"/>
    </xf>
    <xf numFmtId="0" fontId="1" fillId="0" borderId="38" xfId="2" applyFont="1" applyBorder="1" applyAlignment="1">
      <alignment horizontal="left" vertical="top" indent="1"/>
    </xf>
    <xf numFmtId="0" fontId="1" fillId="5" borderId="36" xfId="2" applyFont="1" applyFill="1" applyBorder="1" applyAlignment="1">
      <alignment horizontal="center" vertical="top" wrapText="1"/>
    </xf>
    <xf numFmtId="0" fontId="1" fillId="5" borderId="38" xfId="2" applyFont="1" applyFill="1" applyBorder="1" applyAlignment="1">
      <alignment horizontal="left" vertical="top" wrapText="1" indent="1"/>
    </xf>
    <xf numFmtId="0" fontId="1" fillId="16" borderId="18" xfId="2" applyFont="1" applyFill="1" applyBorder="1" applyAlignment="1">
      <alignment horizontal="left" vertical="center" indent="1"/>
    </xf>
    <xf numFmtId="0" fontId="1" fillId="17" borderId="39" xfId="2" applyFont="1" applyFill="1" applyBorder="1" applyAlignment="1">
      <alignment horizontal="left" vertical="center" indent="1"/>
    </xf>
    <xf numFmtId="0" fontId="1" fillId="5" borderId="13" xfId="2" applyFont="1" applyFill="1" applyBorder="1" applyAlignment="1">
      <alignment horizontal="left" vertical="top" wrapText="1" indent="1"/>
    </xf>
    <xf numFmtId="0" fontId="1" fillId="25" borderId="88" xfId="2" applyFont="1" applyFill="1" applyBorder="1" applyAlignment="1">
      <alignment horizontal="left" vertical="center" indent="1"/>
    </xf>
    <xf numFmtId="0" fontId="1" fillId="24" borderId="36" xfId="2" applyFont="1" applyFill="1" applyBorder="1" applyAlignment="1">
      <alignment horizontal="center"/>
    </xf>
    <xf numFmtId="0" fontId="1" fillId="0" borderId="38" xfId="2" applyFont="1" applyBorder="1"/>
    <xf numFmtId="0" fontId="1" fillId="0" borderId="18" xfId="2" applyFont="1" applyBorder="1"/>
    <xf numFmtId="0" fontId="1" fillId="0" borderId="39" xfId="2" applyFont="1" applyBorder="1"/>
    <xf numFmtId="10" fontId="3" fillId="13" borderId="103" xfId="0" applyNumberFormat="1" applyFont="1" applyFill="1" applyBorder="1" applyAlignment="1" applyProtection="1">
      <alignment horizontal="center" vertical="center"/>
      <protection locked="0"/>
    </xf>
    <xf numFmtId="0" fontId="53" fillId="0" borderId="0" xfId="0" applyFont="1"/>
    <xf numFmtId="0" fontId="56" fillId="5" borderId="96" xfId="0" applyFont="1" applyFill="1" applyBorder="1" applyAlignment="1">
      <alignment vertical="center" wrapText="1"/>
    </xf>
    <xf numFmtId="0" fontId="56" fillId="5" borderId="97" xfId="0" applyFont="1" applyFill="1" applyBorder="1" applyAlignment="1">
      <alignment vertical="center" wrapText="1"/>
    </xf>
    <xf numFmtId="0" fontId="76" fillId="2" borderId="0" xfId="0" applyFont="1" applyFill="1"/>
    <xf numFmtId="0" fontId="56" fillId="5" borderId="6" xfId="0" applyFont="1" applyFill="1" applyBorder="1" applyAlignment="1">
      <alignment vertical="center" wrapText="1"/>
    </xf>
    <xf numFmtId="0" fontId="14" fillId="0" borderId="19" xfId="4" applyFont="1" applyBorder="1" applyAlignment="1" applyProtection="1">
      <alignment horizontal="center" vertical="center" wrapText="1"/>
      <protection locked="0"/>
    </xf>
    <xf numFmtId="0" fontId="14" fillId="0" borderId="20" xfId="4" applyFont="1" applyBorder="1" applyAlignment="1" applyProtection="1">
      <alignment horizontal="center" vertical="center" wrapText="1"/>
      <protection locked="0"/>
    </xf>
    <xf numFmtId="0" fontId="14" fillId="0" borderId="23" xfId="4" applyFont="1" applyBorder="1" applyAlignment="1" applyProtection="1">
      <alignment horizontal="center" vertical="center" wrapText="1"/>
      <protection locked="0"/>
    </xf>
    <xf numFmtId="0" fontId="11" fillId="15" borderId="68" xfId="4" applyFont="1" applyFill="1" applyBorder="1" applyAlignment="1">
      <alignment horizontal="center" vertical="center" wrapText="1" readingOrder="1"/>
    </xf>
    <xf numFmtId="0" fontId="11" fillId="15" borderId="66" xfId="4" applyFont="1" applyFill="1" applyBorder="1" applyAlignment="1">
      <alignment horizontal="center" vertical="center" wrapText="1" readingOrder="1"/>
    </xf>
    <xf numFmtId="0" fontId="25" fillId="2" borderId="19" xfId="4" applyFont="1" applyFill="1" applyBorder="1" applyAlignment="1">
      <alignment horizontal="center" vertical="center" wrapText="1" readingOrder="1"/>
    </xf>
    <xf numFmtId="0" fontId="25" fillId="2" borderId="20" xfId="4" applyFont="1" applyFill="1" applyBorder="1" applyAlignment="1">
      <alignment horizontal="center" vertical="center" wrapText="1" readingOrder="1"/>
    </xf>
    <xf numFmtId="0" fontId="25" fillId="2" borderId="17" xfId="4" applyFont="1" applyFill="1" applyBorder="1" applyAlignment="1">
      <alignment horizontal="center" vertical="center" wrapText="1" readingOrder="1"/>
    </xf>
    <xf numFmtId="0" fontId="25" fillId="2" borderId="21" xfId="4" applyFont="1" applyFill="1" applyBorder="1" applyAlignment="1">
      <alignment horizontal="center" vertical="center" wrapText="1" readingOrder="1"/>
    </xf>
    <xf numFmtId="0" fontId="3" fillId="2" borderId="17" xfId="4" applyFont="1" applyFill="1" applyBorder="1" applyAlignment="1">
      <alignment horizontal="center" vertical="center" wrapText="1"/>
    </xf>
    <xf numFmtId="0" fontId="3" fillId="2" borderId="20" xfId="4" applyFont="1" applyFill="1" applyBorder="1" applyAlignment="1">
      <alignment horizontal="center" vertical="center" wrapText="1"/>
    </xf>
    <xf numFmtId="0" fontId="3" fillId="2" borderId="21" xfId="4" applyFont="1" applyFill="1" applyBorder="1" applyAlignment="1">
      <alignment horizontal="center" vertical="center" wrapText="1"/>
    </xf>
    <xf numFmtId="49" fontId="3" fillId="2" borderId="17" xfId="4" applyNumberFormat="1" applyFont="1" applyFill="1" applyBorder="1" applyAlignment="1" applyProtection="1">
      <alignment horizontal="center" vertical="center" wrapText="1"/>
      <protection locked="0"/>
    </xf>
    <xf numFmtId="49" fontId="3" fillId="2" borderId="20" xfId="4" applyNumberFormat="1" applyFont="1" applyFill="1" applyBorder="1" applyAlignment="1" applyProtection="1">
      <alignment horizontal="center" vertical="center" wrapText="1"/>
      <protection locked="0"/>
    </xf>
    <xf numFmtId="49" fontId="3" fillId="2" borderId="21" xfId="4" applyNumberFormat="1" applyFont="1" applyFill="1" applyBorder="1" applyAlignment="1" applyProtection="1">
      <alignment horizontal="center" vertical="center" wrapText="1"/>
      <protection locked="0"/>
    </xf>
    <xf numFmtId="49" fontId="3" fillId="2" borderId="23" xfId="4" applyNumberFormat="1" applyFont="1" applyFill="1" applyBorder="1" applyAlignment="1" applyProtection="1">
      <alignment horizontal="center" vertical="center" wrapText="1"/>
      <protection locked="0"/>
    </xf>
    <xf numFmtId="0" fontId="11" fillId="15" borderId="19" xfId="4" applyFont="1" applyFill="1" applyBorder="1" applyAlignment="1">
      <alignment horizontal="center" vertical="center" wrapText="1" readingOrder="1"/>
    </xf>
    <xf numFmtId="0" fontId="11" fillId="15" borderId="20" xfId="4" applyFont="1" applyFill="1" applyBorder="1" applyAlignment="1">
      <alignment horizontal="center" vertical="center" wrapText="1" readingOrder="1"/>
    </xf>
    <xf numFmtId="0" fontId="11" fillId="15" borderId="23" xfId="4" applyFont="1" applyFill="1" applyBorder="1" applyAlignment="1">
      <alignment horizontal="center" vertical="center" wrapText="1" readingOrder="1"/>
    </xf>
    <xf numFmtId="0" fontId="14" fillId="2" borderId="62" xfId="4" applyFont="1" applyFill="1" applyBorder="1" applyAlignment="1" applyProtection="1">
      <alignment horizontal="center" vertical="center" wrapText="1"/>
      <protection locked="0"/>
    </xf>
    <xf numFmtId="0" fontId="14" fillId="2" borderId="63" xfId="4" applyFont="1" applyFill="1" applyBorder="1" applyAlignment="1" applyProtection="1">
      <alignment horizontal="center" vertical="center" wrapText="1"/>
      <protection locked="0"/>
    </xf>
    <xf numFmtId="0" fontId="14" fillId="2" borderId="69" xfId="4" applyFont="1" applyFill="1" applyBorder="1" applyAlignment="1" applyProtection="1">
      <alignment horizontal="center" vertical="center" wrapText="1"/>
      <protection locked="0"/>
    </xf>
    <xf numFmtId="0" fontId="14" fillId="2" borderId="67" xfId="4" applyFont="1" applyFill="1" applyBorder="1" applyAlignment="1" applyProtection="1">
      <alignment horizontal="center" vertical="center" wrapText="1"/>
      <protection locked="0"/>
    </xf>
    <xf numFmtId="0" fontId="18" fillId="3" borderId="53" xfId="4" applyFont="1" applyFill="1" applyBorder="1" applyAlignment="1">
      <alignment horizontal="center" vertical="center" wrapText="1" readingOrder="1"/>
    </xf>
    <xf numFmtId="0" fontId="18" fillId="3" borderId="54" xfId="4" applyFont="1" applyFill="1" applyBorder="1" applyAlignment="1">
      <alignment horizontal="center" vertical="center" wrapText="1" readingOrder="1"/>
    </xf>
    <xf numFmtId="0" fontId="18" fillId="3" borderId="55" xfId="4" applyFont="1" applyFill="1" applyBorder="1" applyAlignment="1">
      <alignment horizontal="center" vertical="center" wrapText="1" readingOrder="1"/>
    </xf>
    <xf numFmtId="0" fontId="13" fillId="2" borderId="62" xfId="4" applyFont="1" applyFill="1" applyBorder="1" applyAlignment="1" applyProtection="1">
      <alignment horizontal="left" vertical="top" wrapText="1" indent="1" readingOrder="1"/>
      <protection locked="0"/>
    </xf>
    <xf numFmtId="0" fontId="13" fillId="2" borderId="63" xfId="4" applyFont="1" applyFill="1" applyBorder="1" applyAlignment="1" applyProtection="1">
      <alignment horizontal="left" vertical="top" wrapText="1" indent="1" readingOrder="1"/>
      <protection locked="0"/>
    </xf>
    <xf numFmtId="0" fontId="13" fillId="2" borderId="59" xfId="4" applyFont="1" applyFill="1" applyBorder="1" applyAlignment="1" applyProtection="1">
      <alignment horizontal="left" vertical="top" wrapText="1" indent="1" readingOrder="1"/>
      <protection locked="0"/>
    </xf>
    <xf numFmtId="0" fontId="11" fillId="3" borderId="63" xfId="4" applyFont="1" applyFill="1" applyBorder="1" applyAlignment="1">
      <alignment horizontal="center" vertical="center" wrapText="1" readingOrder="1"/>
    </xf>
    <xf numFmtId="0" fontId="13" fillId="2" borderId="10" xfId="4" applyFont="1" applyFill="1" applyBorder="1" applyAlignment="1" applyProtection="1">
      <alignment horizontal="left" vertical="top" wrapText="1" indent="1" readingOrder="1"/>
      <protection locked="0"/>
    </xf>
    <xf numFmtId="0" fontId="13" fillId="2" borderId="25" xfId="4" applyFont="1" applyFill="1" applyBorder="1" applyAlignment="1" applyProtection="1">
      <alignment horizontal="left" vertical="top" wrapText="1" indent="1" readingOrder="1"/>
      <protection locked="0"/>
    </xf>
    <xf numFmtId="0" fontId="13" fillId="2" borderId="14" xfId="4" applyFont="1" applyFill="1" applyBorder="1" applyAlignment="1" applyProtection="1">
      <alignment horizontal="left" vertical="top" wrapText="1" indent="1" readingOrder="1"/>
      <protection locked="0"/>
    </xf>
    <xf numFmtId="0" fontId="13" fillId="2" borderId="15" xfId="4" applyFont="1" applyFill="1" applyBorder="1" applyAlignment="1" applyProtection="1">
      <alignment horizontal="left" vertical="top" wrapText="1" indent="1" readingOrder="1"/>
      <protection locked="0"/>
    </xf>
    <xf numFmtId="0" fontId="13" fillId="2" borderId="28" xfId="4" applyFont="1" applyFill="1" applyBorder="1" applyAlignment="1" applyProtection="1">
      <alignment horizontal="left" vertical="top" wrapText="1" indent="1" readingOrder="1"/>
      <protection locked="0"/>
    </xf>
    <xf numFmtId="0" fontId="13" fillId="2" borderId="29" xfId="4" applyFont="1" applyFill="1" applyBorder="1" applyAlignment="1" applyProtection="1">
      <alignment horizontal="left" vertical="top" wrapText="1" indent="1" readingOrder="1"/>
      <protection locked="0"/>
    </xf>
    <xf numFmtId="0" fontId="13" fillId="2" borderId="56" xfId="4" applyFont="1" applyFill="1" applyBorder="1" applyAlignment="1" applyProtection="1">
      <alignment horizontal="left" vertical="top" wrapText="1" indent="1" readingOrder="1"/>
      <protection locked="0"/>
    </xf>
    <xf numFmtId="0" fontId="13" fillId="2" borderId="24" xfId="4" applyFont="1" applyFill="1" applyBorder="1" applyAlignment="1" applyProtection="1">
      <alignment horizontal="left" vertical="top" wrapText="1" indent="1" readingOrder="1"/>
      <protection locked="0"/>
    </xf>
    <xf numFmtId="0" fontId="13" fillId="2" borderId="51" xfId="4" applyFont="1" applyFill="1" applyBorder="1" applyAlignment="1" applyProtection="1">
      <alignment horizontal="left" vertical="top" wrapText="1" indent="1" readingOrder="1"/>
      <protection locked="0"/>
    </xf>
    <xf numFmtId="0" fontId="13" fillId="2" borderId="31" xfId="4" applyFont="1" applyFill="1" applyBorder="1" applyAlignment="1" applyProtection="1">
      <alignment horizontal="left" vertical="top" wrapText="1" indent="1" readingOrder="1"/>
      <protection locked="0"/>
    </xf>
    <xf numFmtId="0" fontId="13" fillId="2" borderId="11" xfId="4" applyFont="1" applyFill="1" applyBorder="1" applyAlignment="1" applyProtection="1">
      <alignment horizontal="left" vertical="top" wrapText="1" indent="1" readingOrder="1"/>
      <protection locked="0"/>
    </xf>
    <xf numFmtId="0" fontId="13" fillId="2" borderId="0" xfId="4" applyFont="1" applyFill="1" applyAlignment="1" applyProtection="1">
      <alignment horizontal="left" vertical="top" wrapText="1" indent="1" readingOrder="1"/>
      <protection locked="0"/>
    </xf>
    <xf numFmtId="0" fontId="13" fillId="2" borderId="50" xfId="4" applyFont="1" applyFill="1" applyBorder="1" applyAlignment="1" applyProtection="1">
      <alignment horizontal="left" vertical="top" wrapText="1" indent="1" readingOrder="1"/>
      <protection locked="0"/>
    </xf>
    <xf numFmtId="0" fontId="13" fillId="2" borderId="47" xfId="4" applyFont="1" applyFill="1" applyBorder="1" applyAlignment="1" applyProtection="1">
      <alignment horizontal="left" vertical="top" wrapText="1" indent="1" readingOrder="1"/>
      <protection locked="0"/>
    </xf>
    <xf numFmtId="0" fontId="13" fillId="2" borderId="56" xfId="4" applyFont="1" applyFill="1" applyBorder="1" applyAlignment="1" applyProtection="1">
      <alignment horizontal="center" vertical="top" wrapText="1" readingOrder="1"/>
      <protection locked="0"/>
    </xf>
    <xf numFmtId="0" fontId="13" fillId="2" borderId="11" xfId="4" applyFont="1" applyFill="1" applyBorder="1" applyAlignment="1" applyProtection="1">
      <alignment horizontal="center" vertical="top" wrapText="1" readingOrder="1"/>
      <protection locked="0"/>
    </xf>
    <xf numFmtId="0" fontId="13" fillId="2" borderId="24" xfId="4" applyFont="1" applyFill="1" applyBorder="1" applyAlignment="1" applyProtection="1">
      <alignment horizontal="center" vertical="top" wrapText="1" readingOrder="1"/>
      <protection locked="0"/>
    </xf>
    <xf numFmtId="0" fontId="13" fillId="2" borderId="0" xfId="4" applyFont="1" applyFill="1" applyAlignment="1" applyProtection="1">
      <alignment horizontal="center" vertical="top" wrapText="1" readingOrder="1"/>
      <protection locked="0"/>
    </xf>
    <xf numFmtId="0" fontId="13" fillId="2" borderId="50" xfId="4" applyFont="1" applyFill="1" applyBorder="1" applyAlignment="1" applyProtection="1">
      <alignment horizontal="center" vertical="top" wrapText="1" readingOrder="1"/>
      <protection locked="0"/>
    </xf>
    <xf numFmtId="0" fontId="13" fillId="2" borderId="47" xfId="4" applyFont="1" applyFill="1" applyBorder="1" applyAlignment="1" applyProtection="1">
      <alignment horizontal="center" vertical="top" wrapText="1" readingOrder="1"/>
      <protection locked="0"/>
    </xf>
    <xf numFmtId="0" fontId="13" fillId="2" borderId="30" xfId="4" applyFont="1" applyFill="1" applyBorder="1" applyAlignment="1" applyProtection="1">
      <alignment horizontal="left" vertical="top" wrapText="1" indent="1" readingOrder="1"/>
      <protection locked="0"/>
    </xf>
    <xf numFmtId="0" fontId="13" fillId="2" borderId="52" xfId="4" applyFont="1" applyFill="1" applyBorder="1" applyAlignment="1" applyProtection="1">
      <alignment horizontal="left" vertical="top" wrapText="1" indent="1" readingOrder="1"/>
      <protection locked="0"/>
    </xf>
    <xf numFmtId="0" fontId="13" fillId="2" borderId="51" xfId="4" applyFont="1" applyFill="1" applyBorder="1" applyAlignment="1" applyProtection="1">
      <alignment horizontal="center" vertical="top" wrapText="1" readingOrder="1"/>
      <protection locked="0"/>
    </xf>
    <xf numFmtId="0" fontId="13" fillId="2" borderId="52" xfId="4" applyFont="1" applyFill="1" applyBorder="1" applyAlignment="1" applyProtection="1">
      <alignment horizontal="center" vertical="top" wrapText="1" readingOrder="1"/>
      <protection locked="0"/>
    </xf>
    <xf numFmtId="0" fontId="13" fillId="2" borderId="48" xfId="4" applyFont="1" applyFill="1" applyBorder="1" applyAlignment="1" applyProtection="1">
      <alignment horizontal="center" vertical="top" wrapText="1" readingOrder="1"/>
      <protection locked="0"/>
    </xf>
    <xf numFmtId="0" fontId="13" fillId="2" borderId="49" xfId="4" applyFont="1" applyFill="1" applyBorder="1" applyAlignment="1" applyProtection="1">
      <alignment horizontal="center" vertical="top" wrapText="1" readingOrder="1"/>
      <protection locked="0"/>
    </xf>
    <xf numFmtId="0" fontId="13" fillId="2" borderId="22" xfId="4" applyFont="1" applyFill="1" applyBorder="1" applyAlignment="1" applyProtection="1">
      <alignment horizontal="center" vertical="top" wrapText="1" readingOrder="1"/>
      <protection locked="0"/>
    </xf>
    <xf numFmtId="0" fontId="13" fillId="2" borderId="42" xfId="4" applyFont="1" applyFill="1" applyBorder="1" applyAlignment="1" applyProtection="1">
      <alignment horizontal="center" vertical="top" wrapText="1" readingOrder="1"/>
      <protection locked="0"/>
    </xf>
    <xf numFmtId="0" fontId="13" fillId="2" borderId="25" xfId="4" applyFont="1" applyFill="1" applyBorder="1" applyAlignment="1" applyProtection="1">
      <alignment horizontal="center" vertical="top" wrapText="1" readingOrder="1"/>
      <protection locked="0"/>
    </xf>
    <xf numFmtId="0" fontId="13" fillId="2" borderId="15" xfId="4" applyFont="1" applyFill="1" applyBorder="1" applyAlignment="1" applyProtection="1">
      <alignment horizontal="center" vertical="top" wrapText="1" readingOrder="1"/>
      <protection locked="0"/>
    </xf>
    <xf numFmtId="0" fontId="13" fillId="2" borderId="29" xfId="4" applyFont="1" applyFill="1" applyBorder="1" applyAlignment="1" applyProtection="1">
      <alignment horizontal="center" vertical="top" wrapText="1" readingOrder="1"/>
      <protection locked="0"/>
    </xf>
    <xf numFmtId="0" fontId="13" fillId="2" borderId="41" xfId="4" applyFont="1" applyFill="1" applyBorder="1" applyAlignment="1" applyProtection="1">
      <alignment horizontal="center" vertical="top" wrapText="1" readingOrder="1"/>
      <protection locked="0"/>
    </xf>
    <xf numFmtId="0" fontId="13" fillId="2" borderId="43" xfId="4" applyFont="1" applyFill="1" applyBorder="1" applyAlignment="1" applyProtection="1">
      <alignment horizontal="center" vertical="top" wrapText="1" readingOrder="1"/>
      <protection locked="0"/>
    </xf>
    <xf numFmtId="0" fontId="29" fillId="2" borderId="14" xfId="6" applyFont="1" applyFill="1" applyBorder="1" applyAlignment="1">
      <alignment horizontal="left" vertical="top" wrapText="1" indent="1"/>
    </xf>
    <xf numFmtId="0" fontId="29" fillId="2" borderId="22" xfId="6" applyFont="1" applyFill="1" applyBorder="1" applyAlignment="1">
      <alignment horizontal="left" vertical="top" wrapText="1" indent="1"/>
    </xf>
    <xf numFmtId="0" fontId="29" fillId="2" borderId="30" xfId="6" applyFont="1" applyFill="1" applyBorder="1" applyAlignment="1">
      <alignment horizontal="left" vertical="top" wrapText="1" indent="1"/>
    </xf>
    <xf numFmtId="0" fontId="29" fillId="2" borderId="42" xfId="6" applyFont="1" applyFill="1" applyBorder="1" applyAlignment="1">
      <alignment horizontal="left" vertical="top" wrapText="1" indent="1"/>
    </xf>
    <xf numFmtId="0" fontId="11" fillId="15" borderId="21" xfId="4" applyFont="1" applyFill="1" applyBorder="1" applyAlignment="1">
      <alignment horizontal="center" vertical="center" wrapText="1" readingOrder="1"/>
    </xf>
    <xf numFmtId="0" fontId="11" fillId="15" borderId="17" xfId="4" applyFont="1" applyFill="1" applyBorder="1" applyAlignment="1">
      <alignment horizontal="center" vertical="center" wrapText="1" readingOrder="1"/>
    </xf>
    <xf numFmtId="0" fontId="11" fillId="15" borderId="16" xfId="4" applyFont="1" applyFill="1" applyBorder="1" applyAlignment="1">
      <alignment horizontal="center" vertical="center" wrapText="1" readingOrder="1"/>
    </xf>
    <xf numFmtId="0" fontId="11" fillId="15" borderId="18" xfId="4" applyFont="1" applyFill="1" applyBorder="1" applyAlignment="1">
      <alignment horizontal="center" vertical="center" wrapText="1" readingOrder="1"/>
    </xf>
    <xf numFmtId="0" fontId="53" fillId="11" borderId="53" xfId="2" applyFont="1" applyFill="1" applyBorder="1" applyAlignment="1">
      <alignment horizontal="left" vertical="center" wrapText="1" indent="1" readingOrder="1"/>
    </xf>
    <xf numFmtId="0" fontId="53" fillId="11" borderId="54" xfId="2" applyFont="1" applyFill="1" applyBorder="1" applyAlignment="1">
      <alignment horizontal="left" vertical="center" wrapText="1" indent="1" readingOrder="1"/>
    </xf>
    <xf numFmtId="0" fontId="53" fillId="11" borderId="77" xfId="2" applyFont="1" applyFill="1" applyBorder="1" applyAlignment="1">
      <alignment horizontal="left" vertical="center" wrapText="1" indent="1" readingOrder="1"/>
    </xf>
    <xf numFmtId="0" fontId="53" fillId="11" borderId="76" xfId="2" applyFont="1" applyFill="1" applyBorder="1" applyAlignment="1">
      <alignment horizontal="left" vertical="center" wrapText="1" indent="1" readingOrder="1"/>
    </xf>
    <xf numFmtId="0" fontId="53" fillId="11" borderId="55" xfId="2" applyFont="1" applyFill="1" applyBorder="1" applyAlignment="1">
      <alignment horizontal="left" vertical="center" wrapText="1" indent="1" readingOrder="1"/>
    </xf>
    <xf numFmtId="0" fontId="16" fillId="5" borderId="48" xfId="4" applyFont="1" applyFill="1" applyBorder="1" applyAlignment="1">
      <alignment horizontal="center" vertical="center"/>
    </xf>
    <xf numFmtId="0" fontId="16" fillId="5" borderId="32" xfId="4" applyFont="1" applyFill="1" applyBorder="1" applyAlignment="1">
      <alignment horizontal="center" vertical="center"/>
    </xf>
    <xf numFmtId="0" fontId="16" fillId="5" borderId="50" xfId="4" applyFont="1" applyFill="1" applyBorder="1" applyAlignment="1">
      <alignment horizontal="center" vertical="center"/>
    </xf>
    <xf numFmtId="0" fontId="16" fillId="5" borderId="29" xfId="4" applyFont="1" applyFill="1" applyBorder="1" applyAlignment="1">
      <alignment horizontal="center" vertical="center"/>
    </xf>
    <xf numFmtId="0" fontId="16" fillId="2" borderId="26" xfId="4" applyFont="1" applyFill="1" applyBorder="1" applyAlignment="1">
      <alignment horizontal="center" vertical="center"/>
    </xf>
    <xf numFmtId="0" fontId="16" fillId="2" borderId="16" xfId="4" applyFont="1" applyFill="1" applyBorder="1" applyAlignment="1">
      <alignment horizontal="center" vertical="center"/>
    </xf>
    <xf numFmtId="0" fontId="14" fillId="2" borderId="16" xfId="2" applyFont="1" applyFill="1" applyBorder="1" applyAlignment="1" applyProtection="1">
      <alignment horizontal="left" vertical="center" wrapText="1" indent="1" readingOrder="1"/>
      <protection locked="0"/>
    </xf>
    <xf numFmtId="0" fontId="16" fillId="2" borderId="27" xfId="4" applyFont="1" applyFill="1" applyBorder="1" applyAlignment="1" applyProtection="1">
      <alignment horizontal="center" vertical="center" wrapText="1"/>
      <protection locked="0"/>
    </xf>
    <xf numFmtId="0" fontId="16" fillId="2" borderId="26" xfId="4" applyFont="1" applyFill="1" applyBorder="1" applyAlignment="1" applyProtection="1">
      <alignment horizontal="center" vertical="center" wrapText="1"/>
      <protection locked="0"/>
    </xf>
    <xf numFmtId="0" fontId="0" fillId="0" borderId="16" xfId="0" applyBorder="1" applyAlignment="1" applyProtection="1">
      <alignment horizontal="left" vertical="top" indent="1"/>
      <protection locked="0"/>
    </xf>
    <xf numFmtId="0" fontId="14" fillId="2" borderId="16" xfId="2" applyFont="1" applyFill="1" applyBorder="1" applyAlignment="1" applyProtection="1">
      <alignment horizontal="left" vertical="center" wrapText="1" indent="1"/>
      <protection locked="0"/>
    </xf>
    <xf numFmtId="0" fontId="14" fillId="2" borderId="18" xfId="2" applyFont="1" applyFill="1" applyBorder="1" applyAlignment="1" applyProtection="1">
      <alignment horizontal="left" vertical="center" wrapText="1" indent="1"/>
      <protection locked="0"/>
    </xf>
    <xf numFmtId="0" fontId="8" fillId="2" borderId="33" xfId="1" applyFill="1" applyBorder="1" applyAlignment="1" applyProtection="1">
      <alignment horizontal="center" vertical="center" wrapText="1" readingOrder="1"/>
    </xf>
    <xf numFmtId="0" fontId="34" fillId="2" borderId="34" xfId="2" applyFont="1" applyFill="1" applyBorder="1" applyAlignment="1">
      <alignment horizontal="center" vertical="center" wrapText="1" readingOrder="1"/>
    </xf>
    <xf numFmtId="0" fontId="14" fillId="2" borderId="35" xfId="2" applyFont="1" applyFill="1" applyBorder="1" applyAlignment="1" applyProtection="1">
      <alignment horizontal="left" vertical="center" wrapText="1" indent="1" readingOrder="1"/>
      <protection locked="0"/>
    </xf>
    <xf numFmtId="0" fontId="16" fillId="2" borderId="78" xfId="4" applyFont="1" applyFill="1" applyBorder="1" applyAlignment="1" applyProtection="1">
      <alignment horizontal="center" vertical="center" wrapText="1"/>
      <protection locked="0"/>
    </xf>
    <xf numFmtId="0" fontId="16" fillId="5" borderId="51" xfId="4" applyFont="1" applyFill="1" applyBorder="1" applyAlignment="1">
      <alignment horizontal="center" vertical="center"/>
    </xf>
    <xf numFmtId="0" fontId="16" fillId="5" borderId="31" xfId="4" applyFont="1" applyFill="1" applyBorder="1" applyAlignment="1">
      <alignment horizontal="center" vertical="center"/>
    </xf>
    <xf numFmtId="0" fontId="16" fillId="2" borderId="35" xfId="4" applyFont="1" applyFill="1" applyBorder="1" applyAlignment="1">
      <alignment horizontal="center" vertical="center"/>
    </xf>
    <xf numFmtId="0" fontId="0" fillId="0" borderId="35" xfId="0" applyBorder="1" applyAlignment="1" applyProtection="1">
      <alignment horizontal="left" vertical="top" indent="1"/>
      <protection locked="0"/>
    </xf>
    <xf numFmtId="0" fontId="14" fillId="2" borderId="35" xfId="2" applyFont="1" applyFill="1" applyBorder="1" applyAlignment="1" applyProtection="1">
      <alignment horizontal="left" vertical="center" wrapText="1" indent="1"/>
      <protection locked="0"/>
    </xf>
    <xf numFmtId="0" fontId="14" fillId="2" borderId="39" xfId="2" applyFont="1" applyFill="1" applyBorder="1" applyAlignment="1" applyProtection="1">
      <alignment horizontal="left" vertical="center" wrapText="1" indent="1"/>
      <protection locked="0"/>
    </xf>
    <xf numFmtId="0" fontId="13" fillId="0" borderId="62" xfId="2" applyFont="1" applyBorder="1" applyAlignment="1" applyProtection="1">
      <alignment horizontal="left" vertical="top" wrapText="1" indent="1" readingOrder="1"/>
      <protection locked="0"/>
    </xf>
    <xf numFmtId="0" fontId="13" fillId="0" borderId="63" xfId="2" applyFont="1" applyBorder="1" applyAlignment="1" applyProtection="1">
      <alignment horizontal="left" vertical="top" wrapText="1" indent="1" readingOrder="1"/>
      <protection locked="0"/>
    </xf>
    <xf numFmtId="0" fontId="13" fillId="0" borderId="59" xfId="2" applyFont="1" applyBorder="1" applyAlignment="1" applyProtection="1">
      <alignment horizontal="left" vertical="top" wrapText="1" indent="1" readingOrder="1"/>
      <protection locked="0"/>
    </xf>
    <xf numFmtId="0" fontId="8" fillId="2" borderId="29" xfId="1" applyFill="1" applyBorder="1" applyAlignment="1" applyProtection="1">
      <alignment horizontal="center" vertical="center" wrapText="1" readingOrder="1"/>
    </xf>
    <xf numFmtId="0" fontId="34" fillId="2" borderId="21" xfId="2" applyFont="1" applyFill="1" applyBorder="1" applyAlignment="1">
      <alignment horizontal="center" vertical="center" wrapText="1" readingOrder="1"/>
    </xf>
    <xf numFmtId="0" fontId="13" fillId="0" borderId="67" xfId="2" applyFont="1" applyBorder="1" applyAlignment="1" applyProtection="1">
      <alignment horizontal="left" vertical="top" wrapText="1" indent="1" readingOrder="1"/>
      <protection locked="0"/>
    </xf>
    <xf numFmtId="49" fontId="0" fillId="0" borderId="16" xfId="0" applyNumberFormat="1" applyBorder="1" applyAlignment="1" applyProtection="1">
      <alignment horizontal="left" vertical="top" indent="1"/>
      <protection locked="0"/>
    </xf>
    <xf numFmtId="0" fontId="14" fillId="0" borderId="16" xfId="2" applyFont="1" applyBorder="1" applyAlignment="1" applyProtection="1">
      <alignment horizontal="left" vertical="center" wrapText="1" indent="1" readingOrder="1"/>
      <protection locked="0"/>
    </xf>
    <xf numFmtId="0" fontId="3" fillId="0" borderId="16" xfId="0" applyFont="1" applyBorder="1" applyAlignment="1" applyProtection="1">
      <alignment horizontal="left" vertical="top" indent="1"/>
      <protection locked="0"/>
    </xf>
    <xf numFmtId="0" fontId="24" fillId="9" borderId="53" xfId="2" applyFont="1" applyFill="1" applyBorder="1" applyAlignment="1">
      <alignment horizontal="left" vertical="center" indent="1"/>
    </xf>
    <xf numFmtId="0" fontId="24" fillId="9" borderId="54" xfId="2" applyFont="1" applyFill="1" applyBorder="1" applyAlignment="1">
      <alignment horizontal="left" vertical="center" indent="1"/>
    </xf>
    <xf numFmtId="0" fontId="24" fillId="9" borderId="76" xfId="2" applyFont="1" applyFill="1" applyBorder="1" applyAlignment="1">
      <alignment horizontal="center" vertical="center"/>
    </xf>
    <xf numFmtId="0" fontId="24" fillId="9" borderId="54" xfId="2" applyFont="1" applyFill="1" applyBorder="1" applyAlignment="1">
      <alignment horizontal="center" vertical="center"/>
    </xf>
    <xf numFmtId="16" fontId="24" fillId="9" borderId="54" xfId="2" quotePrefix="1" applyNumberFormat="1" applyFont="1" applyFill="1" applyBorder="1" applyAlignment="1">
      <alignment horizontal="left" vertical="center"/>
    </xf>
    <xf numFmtId="16" fontId="24" fillId="9" borderId="55" xfId="2" quotePrefix="1" applyNumberFormat="1" applyFont="1" applyFill="1" applyBorder="1" applyAlignment="1">
      <alignment horizontal="left" vertical="center"/>
    </xf>
    <xf numFmtId="0" fontId="13" fillId="0" borderId="10" xfId="2" applyFont="1" applyBorder="1" applyAlignment="1">
      <alignment horizontal="left" vertical="top" wrapText="1" indent="1" readingOrder="1"/>
    </xf>
    <xf numFmtId="0" fontId="13" fillId="0" borderId="11" xfId="2" applyFont="1" applyBorder="1" applyAlignment="1">
      <alignment horizontal="left" vertical="top" wrapText="1" indent="1" readingOrder="1"/>
    </xf>
    <xf numFmtId="0" fontId="13" fillId="0" borderId="41" xfId="2" applyFont="1" applyBorder="1" applyAlignment="1">
      <alignment horizontal="left" vertical="top" wrapText="1" indent="1" readingOrder="1"/>
    </xf>
    <xf numFmtId="0" fontId="11" fillId="15" borderId="54" xfId="2" applyFont="1" applyFill="1" applyBorder="1" applyAlignment="1">
      <alignment horizontal="center" vertical="center" wrapText="1" readingOrder="1"/>
    </xf>
    <xf numFmtId="0" fontId="11" fillId="15" borderId="76" xfId="2" applyFont="1" applyFill="1" applyBorder="1" applyAlignment="1">
      <alignment horizontal="center" vertical="center" wrapText="1" readingOrder="1"/>
    </xf>
    <xf numFmtId="0" fontId="11" fillId="15" borderId="55" xfId="2" applyFont="1" applyFill="1" applyBorder="1" applyAlignment="1">
      <alignment horizontal="center" vertical="center" wrapText="1" readingOrder="1"/>
    </xf>
    <xf numFmtId="0" fontId="14" fillId="2" borderId="26" xfId="2" applyFont="1" applyFill="1" applyBorder="1" applyAlignment="1" applyProtection="1">
      <alignment horizontal="left" vertical="center" wrapText="1" indent="1" readingOrder="1"/>
      <protection locked="0"/>
    </xf>
    <xf numFmtId="0" fontId="16" fillId="2" borderId="79" xfId="4" applyFont="1" applyFill="1" applyBorder="1" applyAlignment="1" applyProtection="1">
      <alignment horizontal="center" vertical="center" wrapText="1"/>
      <protection locked="0"/>
    </xf>
    <xf numFmtId="0" fontId="16" fillId="5" borderId="24" xfId="4" applyFont="1" applyFill="1" applyBorder="1" applyAlignment="1">
      <alignment horizontal="center" vertical="center"/>
    </xf>
    <xf numFmtId="0" fontId="16" fillId="5" borderId="15" xfId="4" applyFont="1" applyFill="1" applyBorder="1" applyAlignment="1">
      <alignment horizontal="center" vertical="center"/>
    </xf>
    <xf numFmtId="49" fontId="3" fillId="0" borderId="24" xfId="0" applyNumberFormat="1" applyFont="1" applyBorder="1" applyAlignment="1" applyProtection="1">
      <alignment horizontal="left" vertical="top" indent="1"/>
      <protection locked="0"/>
    </xf>
    <xf numFmtId="0" fontId="0" fillId="0" borderId="0" xfId="0" applyAlignment="1" applyProtection="1">
      <alignment horizontal="left" vertical="top" indent="1"/>
      <protection locked="0"/>
    </xf>
    <xf numFmtId="0" fontId="0" fillId="0" borderId="15" xfId="0" applyBorder="1" applyAlignment="1" applyProtection="1">
      <alignment horizontal="left" vertical="top" indent="1"/>
      <protection locked="0"/>
    </xf>
    <xf numFmtId="0" fontId="0" fillId="0" borderId="24" xfId="0" applyBorder="1" applyAlignment="1" applyProtection="1">
      <alignment horizontal="left" vertical="top" indent="1"/>
      <protection locked="0"/>
    </xf>
    <xf numFmtId="0" fontId="14" fillId="2" borderId="26" xfId="2" applyFont="1" applyFill="1" applyBorder="1" applyAlignment="1" applyProtection="1">
      <alignment horizontal="left" vertical="center" wrapText="1" indent="1"/>
      <protection locked="0"/>
    </xf>
    <xf numFmtId="0" fontId="14" fillId="2" borderId="80" xfId="2" applyFont="1" applyFill="1" applyBorder="1" applyAlignment="1" applyProtection="1">
      <alignment horizontal="left" vertical="center" wrapText="1" indent="1"/>
      <protection locked="0"/>
    </xf>
    <xf numFmtId="0" fontId="45" fillId="5" borderId="92" xfId="1" applyFont="1" applyFill="1" applyBorder="1" applyAlignment="1" applyProtection="1">
      <alignment horizontal="center" vertical="center" wrapText="1" readingOrder="1"/>
    </xf>
    <xf numFmtId="0" fontId="48" fillId="5" borderId="66" xfId="6" applyFont="1" applyFill="1" applyBorder="1" applyAlignment="1">
      <alignment horizontal="center" vertical="center" wrapText="1" readingOrder="1"/>
    </xf>
    <xf numFmtId="0" fontId="46" fillId="5" borderId="37" xfId="6" applyFont="1" applyFill="1" applyBorder="1" applyAlignment="1">
      <alignment horizontal="left" vertical="center" wrapText="1" indent="1" readingOrder="1"/>
    </xf>
    <xf numFmtId="0" fontId="46" fillId="5" borderId="35" xfId="6" applyFont="1" applyFill="1" applyBorder="1" applyAlignment="1">
      <alignment horizontal="left" vertical="center" wrapText="1" indent="1" readingOrder="1"/>
    </xf>
    <xf numFmtId="0" fontId="47" fillId="5" borderId="89" xfId="7" applyFont="1" applyFill="1" applyBorder="1" applyAlignment="1">
      <alignment horizontal="center" vertical="center" wrapText="1"/>
    </xf>
    <xf numFmtId="0" fontId="47" fillId="5" borderId="78" xfId="7" applyFont="1" applyFill="1" applyBorder="1" applyAlignment="1">
      <alignment horizontal="center" vertical="center" wrapText="1"/>
    </xf>
    <xf numFmtId="0" fontId="16" fillId="5" borderId="56" xfId="4" applyFont="1" applyFill="1" applyBorder="1" applyAlignment="1" applyProtection="1">
      <alignment horizontal="center" vertical="center"/>
      <protection locked="0"/>
    </xf>
    <xf numFmtId="0" fontId="16" fillId="5" borderId="25" xfId="4" applyFont="1" applyFill="1" applyBorder="1" applyAlignment="1" applyProtection="1">
      <alignment horizontal="center" vertical="center"/>
      <protection locked="0"/>
    </xf>
    <xf numFmtId="0" fontId="16" fillId="5" borderId="51" xfId="4" applyFont="1" applyFill="1" applyBorder="1" applyAlignment="1" applyProtection="1">
      <alignment horizontal="center" vertical="center"/>
      <protection locked="0"/>
    </xf>
    <xf numFmtId="0" fontId="16" fillId="5" borderId="31" xfId="4" applyFont="1" applyFill="1" applyBorder="1" applyAlignment="1" applyProtection="1">
      <alignment horizontal="center" vertical="center"/>
      <protection locked="0"/>
    </xf>
    <xf numFmtId="14" fontId="47" fillId="2" borderId="37" xfId="7" applyNumberFormat="1" applyFont="1" applyFill="1" applyBorder="1" applyAlignment="1" applyProtection="1">
      <alignment horizontal="center" vertical="center"/>
      <protection locked="0"/>
    </xf>
    <xf numFmtId="14" fontId="47" fillId="2" borderId="35" xfId="7" applyNumberFormat="1" applyFont="1" applyFill="1" applyBorder="1" applyAlignment="1" applyProtection="1">
      <alignment horizontal="center" vertical="center"/>
      <protection locked="0"/>
    </xf>
    <xf numFmtId="0" fontId="46" fillId="5" borderId="56" xfId="3" applyFont="1" applyFill="1" applyBorder="1" applyAlignment="1">
      <alignment horizontal="left" vertical="top" indent="1"/>
    </xf>
    <xf numFmtId="0" fontId="46" fillId="5" borderId="11" xfId="3" applyFont="1" applyFill="1" applyBorder="1" applyAlignment="1">
      <alignment horizontal="left" vertical="top" indent="1"/>
    </xf>
    <xf numFmtId="0" fontId="46" fillId="5" borderId="25" xfId="3" applyFont="1" applyFill="1" applyBorder="1" applyAlignment="1">
      <alignment horizontal="left" vertical="top" indent="1"/>
    </xf>
    <xf numFmtId="0" fontId="46" fillId="5" borderId="51" xfId="3" applyFont="1" applyFill="1" applyBorder="1" applyAlignment="1">
      <alignment horizontal="left" vertical="top" indent="1"/>
    </xf>
    <xf numFmtId="0" fontId="46" fillId="5" borderId="52" xfId="3" applyFont="1" applyFill="1" applyBorder="1" applyAlignment="1">
      <alignment horizontal="left" vertical="top" indent="1"/>
    </xf>
    <xf numFmtId="0" fontId="46" fillId="5" borderId="31" xfId="3" applyFont="1" applyFill="1" applyBorder="1" applyAlignment="1">
      <alignment horizontal="left" vertical="top" indent="1"/>
    </xf>
    <xf numFmtId="0" fontId="46" fillId="5" borderId="37" xfId="6" applyFont="1" applyFill="1" applyBorder="1" applyAlignment="1">
      <alignment horizontal="left" vertical="center" wrapText="1" indent="1"/>
    </xf>
    <xf numFmtId="0" fontId="46" fillId="5" borderId="38" xfId="6" applyFont="1" applyFill="1" applyBorder="1" applyAlignment="1">
      <alignment horizontal="left" vertical="center" wrapText="1" indent="1"/>
    </xf>
    <xf numFmtId="0" fontId="46" fillId="5" borderId="35" xfId="6" applyFont="1" applyFill="1" applyBorder="1" applyAlignment="1">
      <alignment horizontal="left" vertical="center" wrapText="1" indent="1"/>
    </xf>
    <xf numFmtId="0" fontId="46" fillId="5" borderId="39" xfId="6" applyFont="1" applyFill="1" applyBorder="1" applyAlignment="1">
      <alignment horizontal="left" vertical="center" wrapText="1" indent="1"/>
    </xf>
    <xf numFmtId="0" fontId="13" fillId="2" borderId="62" xfId="2" applyFont="1" applyFill="1" applyBorder="1" applyAlignment="1">
      <alignment horizontal="left" vertical="top" wrapText="1" indent="1" readingOrder="1"/>
    </xf>
    <xf numFmtId="0" fontId="13" fillId="2" borderId="63" xfId="2" applyFont="1" applyFill="1" applyBorder="1" applyAlignment="1">
      <alignment horizontal="left" vertical="top" wrapText="1" indent="1" readingOrder="1"/>
    </xf>
    <xf numFmtId="0" fontId="13" fillId="2" borderId="59" xfId="2" applyFont="1" applyFill="1" applyBorder="1" applyAlignment="1">
      <alignment horizontal="left" vertical="top" wrapText="1" indent="1" readingOrder="1"/>
    </xf>
    <xf numFmtId="0" fontId="26" fillId="11" borderId="53" xfId="2" applyFont="1" applyFill="1" applyBorder="1" applyAlignment="1">
      <alignment horizontal="center" vertical="center" wrapText="1" readingOrder="1"/>
    </xf>
    <xf numFmtId="0" fontId="26" fillId="11" borderId="77" xfId="2" applyFont="1" applyFill="1" applyBorder="1" applyAlignment="1">
      <alignment horizontal="center" vertical="center" wrapText="1" readingOrder="1"/>
    </xf>
    <xf numFmtId="0" fontId="26" fillId="11" borderId="76" xfId="2" applyFont="1" applyFill="1" applyBorder="1" applyAlignment="1">
      <alignment horizontal="center" vertical="center" wrapText="1" readingOrder="1"/>
    </xf>
    <xf numFmtId="0" fontId="26" fillId="11" borderId="54" xfId="2" applyFont="1" applyFill="1" applyBorder="1" applyAlignment="1">
      <alignment horizontal="center" vertical="center" wrapText="1" readingOrder="1"/>
    </xf>
    <xf numFmtId="49" fontId="26" fillId="11" borderId="76" xfId="2" applyNumberFormat="1" applyFont="1" applyFill="1" applyBorder="1" applyAlignment="1" applyProtection="1">
      <alignment horizontal="center" vertical="center" wrapText="1" readingOrder="1"/>
      <protection locked="0"/>
    </xf>
    <xf numFmtId="49" fontId="26" fillId="11" borderId="54" xfId="2" applyNumberFormat="1" applyFont="1" applyFill="1" applyBorder="1" applyAlignment="1" applyProtection="1">
      <alignment horizontal="center" vertical="center" wrapText="1" readingOrder="1"/>
      <protection locked="0"/>
    </xf>
    <xf numFmtId="49" fontId="26" fillId="11" borderId="77" xfId="2" applyNumberFormat="1" applyFont="1" applyFill="1" applyBorder="1" applyAlignment="1" applyProtection="1">
      <alignment horizontal="center" vertical="center" wrapText="1" readingOrder="1"/>
      <protection locked="0"/>
    </xf>
    <xf numFmtId="49" fontId="26" fillId="11" borderId="55" xfId="2" applyNumberFormat="1" applyFont="1" applyFill="1" applyBorder="1" applyAlignment="1" applyProtection="1">
      <alignment horizontal="center" vertical="center" wrapText="1" readingOrder="1"/>
      <protection locked="0"/>
    </xf>
    <xf numFmtId="0" fontId="17" fillId="15" borderId="53" xfId="2" applyFont="1" applyFill="1" applyBorder="1" applyAlignment="1">
      <alignment horizontal="center" vertical="center" wrapText="1" readingOrder="1"/>
    </xf>
    <xf numFmtId="0" fontId="17" fillId="15" borderId="54" xfId="2" applyFont="1" applyFill="1" applyBorder="1" applyAlignment="1">
      <alignment horizontal="center" vertical="center" wrapText="1" readingOrder="1"/>
    </xf>
    <xf numFmtId="0" fontId="17" fillId="15" borderId="55" xfId="2" applyFont="1" applyFill="1" applyBorder="1" applyAlignment="1">
      <alignment horizontal="center" vertical="center" wrapText="1" readingOrder="1"/>
    </xf>
    <xf numFmtId="0" fontId="17" fillId="15" borderId="77" xfId="2" applyFont="1" applyFill="1" applyBorder="1" applyAlignment="1">
      <alignment horizontal="center" vertical="center" wrapText="1" readingOrder="1"/>
    </xf>
    <xf numFmtId="0" fontId="17" fillId="15" borderId="76" xfId="2" applyFont="1" applyFill="1" applyBorder="1" applyAlignment="1">
      <alignment horizontal="center" vertical="center" wrapText="1" readingOrder="1"/>
    </xf>
    <xf numFmtId="0" fontId="15" fillId="2" borderId="10" xfId="6" applyFont="1" applyFill="1" applyBorder="1" applyAlignment="1">
      <alignment horizontal="left" indent="1"/>
    </xf>
    <xf numFmtId="0" fontId="2" fillId="2" borderId="41" xfId="6" applyFill="1" applyBorder="1" applyAlignment="1">
      <alignment horizontal="left" indent="1"/>
    </xf>
    <xf numFmtId="17" fontId="13" fillId="2" borderId="56" xfId="4" applyNumberFormat="1" applyFont="1" applyFill="1" applyBorder="1" applyAlignment="1" applyProtection="1">
      <alignment horizontal="center" vertical="top" wrapText="1" readingOrder="1"/>
      <protection locked="0"/>
    </xf>
    <xf numFmtId="49" fontId="3" fillId="2" borderId="17" xfId="4" applyNumberFormat="1" applyFont="1" applyFill="1" applyBorder="1" applyAlignment="1">
      <alignment horizontal="center" vertical="center" wrapText="1"/>
    </xf>
    <xf numFmtId="49" fontId="3" fillId="2" borderId="20" xfId="4" applyNumberFormat="1" applyFont="1" applyFill="1" applyBorder="1" applyAlignment="1">
      <alignment horizontal="center" vertical="center" wrapText="1"/>
    </xf>
    <xf numFmtId="49" fontId="3" fillId="2" borderId="21" xfId="4" applyNumberFormat="1" applyFont="1" applyFill="1" applyBorder="1" applyAlignment="1">
      <alignment horizontal="center" vertical="center" wrapText="1"/>
    </xf>
    <xf numFmtId="0" fontId="13" fillId="27" borderId="62" xfId="4" applyFont="1" applyFill="1" applyBorder="1" applyAlignment="1" applyProtection="1">
      <alignment horizontal="left" vertical="top" wrapText="1" indent="1" readingOrder="1"/>
      <protection locked="0"/>
    </xf>
    <xf numFmtId="0" fontId="13" fillId="27" borderId="63" xfId="4" applyFont="1" applyFill="1" applyBorder="1" applyAlignment="1" applyProtection="1">
      <alignment horizontal="left" vertical="top" wrapText="1" indent="1" readingOrder="1"/>
      <protection locked="0"/>
    </xf>
    <xf numFmtId="0" fontId="13" fillId="27" borderId="59" xfId="4" applyFont="1" applyFill="1" applyBorder="1" applyAlignment="1" applyProtection="1">
      <alignment horizontal="left" vertical="top" wrapText="1" indent="1" readingOrder="1"/>
      <protection locked="0"/>
    </xf>
    <xf numFmtId="0" fontId="3" fillId="0" borderId="16" xfId="0" applyFont="1" applyBorder="1" applyAlignment="1" applyProtection="1">
      <alignment horizontal="left" vertical="top" wrapText="1" indent="1"/>
      <protection locked="0"/>
    </xf>
    <xf numFmtId="0" fontId="0" fillId="0" borderId="16" xfId="0" applyBorder="1" applyAlignment="1" applyProtection="1">
      <alignment horizontal="left" vertical="top" wrapText="1" indent="1"/>
      <protection locked="0"/>
    </xf>
    <xf numFmtId="0" fontId="14" fillId="2" borderId="16" xfId="2" applyFont="1" applyFill="1" applyBorder="1" applyAlignment="1">
      <alignment horizontal="left" vertical="center" wrapText="1" indent="1" readingOrder="1"/>
    </xf>
    <xf numFmtId="0" fontId="16" fillId="2" borderId="79" xfId="4" applyFont="1" applyFill="1" applyBorder="1" applyAlignment="1">
      <alignment horizontal="center" vertical="center" wrapText="1"/>
    </xf>
    <xf numFmtId="0" fontId="16" fillId="2" borderId="26" xfId="4" applyFont="1" applyFill="1" applyBorder="1" applyAlignment="1">
      <alignment horizontal="center" vertical="center" wrapText="1"/>
    </xf>
    <xf numFmtId="0" fontId="16" fillId="2" borderId="27" xfId="4" applyFont="1" applyFill="1" applyBorder="1" applyAlignment="1">
      <alignment horizontal="center" vertical="center" wrapText="1"/>
    </xf>
    <xf numFmtId="0" fontId="14" fillId="2" borderId="89" xfId="2" applyFont="1" applyFill="1" applyBorder="1" applyAlignment="1">
      <alignment horizontal="left" vertical="center" wrapText="1" indent="1" readingOrder="1"/>
    </xf>
    <xf numFmtId="0" fontId="14" fillId="2" borderId="26" xfId="2" applyFont="1" applyFill="1" applyBorder="1" applyAlignment="1">
      <alignment horizontal="left" vertical="center" wrapText="1" indent="1" readingOrder="1"/>
    </xf>
    <xf numFmtId="0" fontId="38" fillId="0" borderId="24" xfId="0" applyFont="1" applyBorder="1" applyAlignment="1" applyProtection="1">
      <alignment horizontal="left" vertical="top" wrapText="1" indent="1"/>
      <protection locked="0"/>
    </xf>
    <xf numFmtId="0" fontId="38" fillId="0" borderId="0" xfId="0" applyFont="1" applyAlignment="1" applyProtection="1">
      <alignment horizontal="left" vertical="top" wrapText="1" indent="1"/>
      <protection locked="0"/>
    </xf>
    <xf numFmtId="0" fontId="38" fillId="0" borderId="15" xfId="0" applyFont="1" applyBorder="1" applyAlignment="1" applyProtection="1">
      <alignment horizontal="left" vertical="top" wrapText="1" indent="1"/>
      <protection locked="0"/>
    </xf>
    <xf numFmtId="0" fontId="16" fillId="2" borderId="48" xfId="4" applyFont="1" applyFill="1" applyBorder="1" applyAlignment="1">
      <alignment horizontal="center" vertical="center"/>
    </xf>
    <xf numFmtId="0" fontId="16" fillId="2" borderId="32" xfId="4" applyFont="1" applyFill="1" applyBorder="1" applyAlignment="1">
      <alignment horizontal="center" vertical="center"/>
    </xf>
    <xf numFmtId="0" fontId="16" fillId="2" borderId="50" xfId="4" applyFont="1" applyFill="1" applyBorder="1" applyAlignment="1">
      <alignment horizontal="center" vertical="center"/>
    </xf>
    <xf numFmtId="0" fontId="16" fillId="2" borderId="29" xfId="4" applyFont="1" applyFill="1" applyBorder="1" applyAlignment="1">
      <alignment horizontal="center" vertical="center"/>
    </xf>
    <xf numFmtId="0" fontId="14" fillId="2" borderId="27" xfId="2" applyFont="1" applyFill="1" applyBorder="1" applyAlignment="1" applyProtection="1">
      <alignment horizontal="left" vertical="center" wrapText="1" indent="1" readingOrder="1"/>
      <protection locked="0"/>
    </xf>
    <xf numFmtId="0" fontId="0" fillId="0" borderId="48" xfId="0" applyBorder="1" applyAlignment="1" applyProtection="1">
      <alignment horizontal="left" vertical="top" indent="1"/>
      <protection locked="0"/>
    </xf>
    <xf numFmtId="0" fontId="0" fillId="0" borderId="83" xfId="0" applyBorder="1" applyAlignment="1" applyProtection="1">
      <alignment horizontal="left" vertical="top" indent="1"/>
      <protection locked="0"/>
    </xf>
    <xf numFmtId="0" fontId="0" fillId="0" borderId="32" xfId="0" applyBorder="1" applyAlignment="1" applyProtection="1">
      <alignment horizontal="left" vertical="top" indent="1"/>
      <protection locked="0"/>
    </xf>
    <xf numFmtId="0" fontId="0" fillId="0" borderId="50" xfId="0" applyBorder="1" applyAlignment="1" applyProtection="1">
      <alignment horizontal="left" vertical="top" indent="1"/>
      <protection locked="0"/>
    </xf>
    <xf numFmtId="0" fontId="0" fillId="0" borderId="47" xfId="0" applyBorder="1" applyAlignment="1" applyProtection="1">
      <alignment horizontal="left" vertical="top" indent="1"/>
      <protection locked="0"/>
    </xf>
    <xf numFmtId="0" fontId="0" fillId="0" borderId="29" xfId="0" applyBorder="1" applyAlignment="1" applyProtection="1">
      <alignment horizontal="left" vertical="top" indent="1"/>
      <protection locked="0"/>
    </xf>
    <xf numFmtId="0" fontId="14" fillId="2" borderId="48" xfId="2" applyFont="1" applyFill="1" applyBorder="1" applyAlignment="1" applyProtection="1">
      <alignment horizontal="left" vertical="center" wrapText="1" indent="1"/>
      <protection locked="0"/>
    </xf>
    <xf numFmtId="0" fontId="14" fillId="2" borderId="83" xfId="2" applyFont="1" applyFill="1" applyBorder="1" applyAlignment="1" applyProtection="1">
      <alignment horizontal="left" vertical="center" wrapText="1" indent="1"/>
      <protection locked="0"/>
    </xf>
    <xf numFmtId="0" fontId="14" fillId="2" borderId="49" xfId="2" applyFont="1" applyFill="1" applyBorder="1" applyAlignment="1" applyProtection="1">
      <alignment horizontal="left" vertical="center" wrapText="1" indent="1"/>
      <protection locked="0"/>
    </xf>
    <xf numFmtId="0" fontId="14" fillId="2" borderId="50" xfId="2" applyFont="1" applyFill="1" applyBorder="1" applyAlignment="1" applyProtection="1">
      <alignment horizontal="left" vertical="center" wrapText="1" indent="1"/>
      <protection locked="0"/>
    </xf>
    <xf numFmtId="0" fontId="14" fillId="2" borderId="47" xfId="2" applyFont="1" applyFill="1" applyBorder="1" applyAlignment="1" applyProtection="1">
      <alignment horizontal="left" vertical="center" wrapText="1" indent="1"/>
      <protection locked="0"/>
    </xf>
    <xf numFmtId="0" fontId="14" fillId="2" borderId="43" xfId="2" applyFont="1" applyFill="1" applyBorder="1" applyAlignment="1" applyProtection="1">
      <alignment horizontal="left" vertical="center" wrapText="1" indent="1"/>
      <protection locked="0"/>
    </xf>
    <xf numFmtId="0" fontId="8" fillId="2" borderId="40" xfId="1" applyFill="1" applyBorder="1" applyAlignment="1" applyProtection="1">
      <alignment horizontal="center" vertical="center" wrapText="1" readingOrder="1"/>
    </xf>
    <xf numFmtId="0" fontId="8" fillId="2" borderId="94" xfId="1" applyFill="1" applyBorder="1" applyAlignment="1" applyProtection="1">
      <alignment horizontal="center" vertical="center" wrapText="1" readingOrder="1"/>
    </xf>
    <xf numFmtId="0" fontId="14" fillId="2" borderId="78" xfId="2" applyFont="1" applyFill="1" applyBorder="1" applyAlignment="1" applyProtection="1">
      <alignment horizontal="left" vertical="center" wrapText="1" indent="1" readingOrder="1"/>
      <protection locked="0"/>
    </xf>
    <xf numFmtId="0" fontId="16" fillId="2" borderId="51" xfId="4" applyFont="1" applyFill="1" applyBorder="1" applyAlignment="1">
      <alignment horizontal="center" vertical="center"/>
    </xf>
    <xf numFmtId="0" fontId="16" fillId="2" borderId="31" xfId="4" applyFont="1" applyFill="1" applyBorder="1" applyAlignment="1">
      <alignment horizontal="center" vertical="center"/>
    </xf>
    <xf numFmtId="0" fontId="0" fillId="0" borderId="51" xfId="0" applyBorder="1" applyAlignment="1" applyProtection="1">
      <alignment horizontal="left" vertical="top" indent="1"/>
      <protection locked="0"/>
    </xf>
    <xf numFmtId="0" fontId="0" fillId="0" borderId="52" xfId="0" applyBorder="1" applyAlignment="1" applyProtection="1">
      <alignment horizontal="left" vertical="top" indent="1"/>
      <protection locked="0"/>
    </xf>
    <xf numFmtId="0" fontId="0" fillId="0" borderId="31" xfId="0" applyBorder="1" applyAlignment="1" applyProtection="1">
      <alignment horizontal="left" vertical="top" indent="1"/>
      <protection locked="0"/>
    </xf>
    <xf numFmtId="0" fontId="14" fillId="2" borderId="51" xfId="2" applyFont="1" applyFill="1" applyBorder="1" applyAlignment="1" applyProtection="1">
      <alignment horizontal="left" vertical="center" wrapText="1" indent="1"/>
      <protection locked="0"/>
    </xf>
    <xf numFmtId="0" fontId="14" fillId="2" borderId="52" xfId="2" applyFont="1" applyFill="1" applyBorder="1" applyAlignment="1" applyProtection="1">
      <alignment horizontal="left" vertical="center" wrapText="1" indent="1"/>
      <protection locked="0"/>
    </xf>
    <xf numFmtId="0" fontId="14" fillId="2" borderId="42" xfId="2" applyFont="1" applyFill="1" applyBorder="1" applyAlignment="1" applyProtection="1">
      <alignment horizontal="left" vertical="center" wrapText="1" indent="1"/>
      <protection locked="0"/>
    </xf>
    <xf numFmtId="0" fontId="8" fillId="2" borderId="95" xfId="1" applyFill="1" applyBorder="1" applyAlignment="1" applyProtection="1">
      <alignment horizontal="center" vertical="center" wrapText="1" readingOrder="1"/>
    </xf>
    <xf numFmtId="49" fontId="0" fillId="0" borderId="48" xfId="0" applyNumberFormat="1" applyBorder="1" applyAlignment="1" applyProtection="1">
      <alignment horizontal="left" vertical="top" indent="1"/>
      <protection locked="0"/>
    </xf>
    <xf numFmtId="49" fontId="0" fillId="0" borderId="83" xfId="0" applyNumberFormat="1" applyBorder="1" applyAlignment="1" applyProtection="1">
      <alignment horizontal="left" vertical="top" indent="1"/>
      <protection locked="0"/>
    </xf>
    <xf numFmtId="49" fontId="0" fillId="0" borderId="32" xfId="0" applyNumberFormat="1" applyBorder="1" applyAlignment="1" applyProtection="1">
      <alignment horizontal="left" vertical="top" indent="1"/>
      <protection locked="0"/>
    </xf>
    <xf numFmtId="49" fontId="0" fillId="0" borderId="50" xfId="0" applyNumberFormat="1" applyBorder="1" applyAlignment="1" applyProtection="1">
      <alignment horizontal="left" vertical="top" indent="1"/>
      <protection locked="0"/>
    </xf>
    <xf numFmtId="49" fontId="0" fillId="0" borderId="47" xfId="0" applyNumberFormat="1" applyBorder="1" applyAlignment="1" applyProtection="1">
      <alignment horizontal="left" vertical="top" indent="1"/>
      <protection locked="0"/>
    </xf>
    <xf numFmtId="49" fontId="0" fillId="0" borderId="29" xfId="0" applyNumberFormat="1" applyBorder="1" applyAlignment="1" applyProtection="1">
      <alignment horizontal="left" vertical="top" indent="1"/>
      <protection locked="0"/>
    </xf>
    <xf numFmtId="0" fontId="38" fillId="0" borderId="48" xfId="0" applyFont="1" applyBorder="1" applyAlignment="1" applyProtection="1">
      <alignment horizontal="left" vertical="center" indent="1"/>
      <protection locked="0"/>
    </xf>
    <xf numFmtId="0" fontId="38" fillId="0" borderId="83" xfId="0" applyFont="1" applyBorder="1" applyAlignment="1" applyProtection="1">
      <alignment horizontal="left" vertical="center" indent="1"/>
      <protection locked="0"/>
    </xf>
    <xf numFmtId="0" fontId="38" fillId="0" borderId="32" xfId="0" applyFont="1" applyBorder="1" applyAlignment="1" applyProtection="1">
      <alignment horizontal="left" vertical="center" indent="1"/>
      <protection locked="0"/>
    </xf>
    <xf numFmtId="0" fontId="38" fillId="0" borderId="50" xfId="0" applyFont="1" applyBorder="1" applyAlignment="1" applyProtection="1">
      <alignment horizontal="left" vertical="center" indent="1"/>
      <protection locked="0"/>
    </xf>
    <xf numFmtId="0" fontId="38" fillId="0" borderId="47" xfId="0" applyFont="1" applyBorder="1" applyAlignment="1" applyProtection="1">
      <alignment horizontal="left" vertical="center" indent="1"/>
      <protection locked="0"/>
    </xf>
    <xf numFmtId="0" fontId="38" fillId="0" borderId="29" xfId="0" applyFont="1" applyBorder="1" applyAlignment="1" applyProtection="1">
      <alignment horizontal="left" vertical="center" indent="1"/>
      <protection locked="0"/>
    </xf>
    <xf numFmtId="0" fontId="14" fillId="2" borderId="48" xfId="2" applyFont="1" applyFill="1" applyBorder="1" applyAlignment="1" applyProtection="1">
      <alignment horizontal="left" vertical="center" wrapText="1"/>
      <protection locked="0"/>
    </xf>
    <xf numFmtId="0" fontId="14" fillId="2" borderId="83" xfId="2" applyFont="1" applyFill="1" applyBorder="1" applyAlignment="1" applyProtection="1">
      <alignment horizontal="left" vertical="center" wrapText="1"/>
      <protection locked="0"/>
    </xf>
    <xf numFmtId="0" fontId="14" fillId="2" borderId="49" xfId="2" applyFont="1" applyFill="1" applyBorder="1" applyAlignment="1" applyProtection="1">
      <alignment horizontal="left" vertical="center" wrapText="1"/>
      <protection locked="0"/>
    </xf>
    <xf numFmtId="0" fontId="14" fillId="2" borderId="50" xfId="2" applyFont="1" applyFill="1" applyBorder="1" applyAlignment="1" applyProtection="1">
      <alignment horizontal="left" vertical="center" wrapText="1"/>
      <protection locked="0"/>
    </xf>
    <xf numFmtId="0" fontId="14" fillId="2" borderId="47" xfId="2" applyFont="1" applyFill="1" applyBorder="1" applyAlignment="1" applyProtection="1">
      <alignment horizontal="left" vertical="center" wrapText="1"/>
      <protection locked="0"/>
    </xf>
    <xf numFmtId="0" fontId="14" fillId="2" borderId="43" xfId="2" applyFont="1" applyFill="1" applyBorder="1" applyAlignment="1" applyProtection="1">
      <alignment horizontal="left" vertical="center" wrapText="1"/>
      <protection locked="0"/>
    </xf>
    <xf numFmtId="0" fontId="38" fillId="0" borderId="48" xfId="0" applyFont="1" applyBorder="1" applyAlignment="1" applyProtection="1">
      <alignment horizontal="left" vertical="center" wrapText="1" indent="1"/>
      <protection locked="0"/>
    </xf>
    <xf numFmtId="0" fontId="38" fillId="0" borderId="83" xfId="0" applyFont="1" applyBorder="1" applyAlignment="1" applyProtection="1">
      <alignment horizontal="left" vertical="center" wrapText="1" indent="1"/>
      <protection locked="0"/>
    </xf>
    <xf numFmtId="0" fontId="38" fillId="0" borderId="32" xfId="0" applyFont="1" applyBorder="1" applyAlignment="1" applyProtection="1">
      <alignment horizontal="left" vertical="center" wrapText="1" indent="1"/>
      <protection locked="0"/>
    </xf>
    <xf numFmtId="0" fontId="38" fillId="0" borderId="50" xfId="0" applyFont="1" applyBorder="1" applyAlignment="1" applyProtection="1">
      <alignment horizontal="left" vertical="center" wrapText="1" indent="1"/>
      <protection locked="0"/>
    </xf>
    <xf numFmtId="0" fontId="38" fillId="0" borderId="47" xfId="0" applyFont="1" applyBorder="1" applyAlignment="1" applyProtection="1">
      <alignment horizontal="left" vertical="center" wrapText="1" indent="1"/>
      <protection locked="0"/>
    </xf>
    <xf numFmtId="0" fontId="38" fillId="0" borderId="29" xfId="0" applyFont="1" applyBorder="1" applyAlignment="1" applyProtection="1">
      <alignment horizontal="left" vertical="center" wrapText="1" indent="1"/>
      <protection locked="0"/>
    </xf>
    <xf numFmtId="0" fontId="14" fillId="0" borderId="27" xfId="2" applyFont="1" applyBorder="1" applyAlignment="1" applyProtection="1">
      <alignment horizontal="left" vertical="center" wrapText="1" indent="1" readingOrder="1"/>
      <protection locked="0"/>
    </xf>
    <xf numFmtId="0" fontId="14" fillId="0" borderId="26" xfId="2" applyFont="1" applyBorder="1" applyAlignment="1" applyProtection="1">
      <alignment horizontal="left" vertical="center" wrapText="1" indent="1" readingOrder="1"/>
      <protection locked="0"/>
    </xf>
    <xf numFmtId="0" fontId="13" fillId="0" borderId="53" xfId="2" applyFont="1" applyBorder="1" applyAlignment="1">
      <alignment horizontal="left" vertical="top" wrapText="1" indent="1" readingOrder="1"/>
    </xf>
    <xf numFmtId="0" fontId="13" fillId="0" borderId="54" xfId="2" applyFont="1" applyBorder="1" applyAlignment="1">
      <alignment horizontal="left" vertical="top" wrapText="1" indent="1" readingOrder="1"/>
    </xf>
    <xf numFmtId="0" fontId="13" fillId="0" borderId="55" xfId="2" applyFont="1" applyBorder="1" applyAlignment="1">
      <alignment horizontal="left" vertical="top" wrapText="1" indent="1" readingOrder="1"/>
    </xf>
    <xf numFmtId="0" fontId="11" fillId="15" borderId="77" xfId="2" applyFont="1" applyFill="1" applyBorder="1" applyAlignment="1">
      <alignment horizontal="center" vertical="center" wrapText="1" readingOrder="1"/>
    </xf>
    <xf numFmtId="0" fontId="8" fillId="2" borderId="93" xfId="1" applyFill="1" applyBorder="1" applyAlignment="1" applyProtection="1">
      <alignment horizontal="center" vertical="center" wrapText="1" readingOrder="1"/>
    </xf>
    <xf numFmtId="0" fontId="14" fillId="2" borderId="89" xfId="2" applyFont="1" applyFill="1" applyBorder="1" applyAlignment="1" applyProtection="1">
      <alignment horizontal="left" vertical="center" wrapText="1" indent="1" readingOrder="1"/>
      <protection locked="0"/>
    </xf>
    <xf numFmtId="0" fontId="16" fillId="5" borderId="56" xfId="4" applyFont="1" applyFill="1" applyBorder="1" applyAlignment="1">
      <alignment horizontal="center" vertical="center"/>
    </xf>
    <xf numFmtId="0" fontId="16" fillId="5" borderId="25" xfId="4" applyFont="1" applyFill="1" applyBorder="1" applyAlignment="1">
      <alignment horizontal="center" vertical="center"/>
    </xf>
    <xf numFmtId="0" fontId="16" fillId="2" borderId="56" xfId="4" applyFont="1" applyFill="1" applyBorder="1" applyAlignment="1">
      <alignment horizontal="center" vertical="center"/>
    </xf>
    <xf numFmtId="0" fontId="16" fillId="2" borderId="25" xfId="4" applyFont="1" applyFill="1" applyBorder="1" applyAlignment="1">
      <alignment horizontal="center" vertical="center"/>
    </xf>
    <xf numFmtId="49" fontId="38" fillId="0" borderId="56" xfId="0" applyNumberFormat="1" applyFont="1" applyBorder="1" applyAlignment="1" applyProtection="1">
      <alignment horizontal="left" vertical="center" indent="1"/>
      <protection locked="0"/>
    </xf>
    <xf numFmtId="49" fontId="38" fillId="0" borderId="11" xfId="0" applyNumberFormat="1" applyFont="1" applyBorder="1" applyAlignment="1" applyProtection="1">
      <alignment horizontal="left" vertical="center" indent="1"/>
      <protection locked="0"/>
    </xf>
    <xf numFmtId="49" fontId="38" fillId="0" borderId="25" xfId="0" applyNumberFormat="1" applyFont="1" applyBorder="1" applyAlignment="1" applyProtection="1">
      <alignment horizontal="left" vertical="center" indent="1"/>
      <protection locked="0"/>
    </xf>
    <xf numFmtId="49" fontId="38" fillId="0" borderId="50" xfId="0" applyNumberFormat="1" applyFont="1" applyBorder="1" applyAlignment="1" applyProtection="1">
      <alignment horizontal="left" vertical="center" indent="1"/>
      <protection locked="0"/>
    </xf>
    <xf numFmtId="49" fontId="38" fillId="0" borderId="47" xfId="0" applyNumberFormat="1" applyFont="1" applyBorder="1" applyAlignment="1" applyProtection="1">
      <alignment horizontal="left" vertical="center" indent="1"/>
      <protection locked="0"/>
    </xf>
    <xf numFmtId="49" fontId="38" fillId="0" borderId="29" xfId="0" applyNumberFormat="1" applyFont="1" applyBorder="1" applyAlignment="1" applyProtection="1">
      <alignment horizontal="left" vertical="center" indent="1"/>
      <protection locked="0"/>
    </xf>
    <xf numFmtId="0" fontId="45" fillId="5" borderId="93" xfId="1" applyFont="1" applyFill="1" applyBorder="1" applyAlignment="1" applyProtection="1">
      <alignment horizontal="center" vertical="center" wrapText="1" readingOrder="1"/>
    </xf>
    <xf numFmtId="0" fontId="45" fillId="5" borderId="94" xfId="1" applyFont="1" applyFill="1" applyBorder="1" applyAlignment="1" applyProtection="1">
      <alignment horizontal="center" vertical="center" wrapText="1" readingOrder="1"/>
    </xf>
    <xf numFmtId="0" fontId="46" fillId="5" borderId="89" xfId="6" applyFont="1" applyFill="1" applyBorder="1" applyAlignment="1">
      <alignment horizontal="left" vertical="center" wrapText="1" indent="1" readingOrder="1"/>
    </xf>
    <xf numFmtId="0" fontId="46" fillId="5" borderId="78" xfId="6" applyFont="1" applyFill="1" applyBorder="1" applyAlignment="1">
      <alignment horizontal="left" vertical="center" wrapText="1" indent="1" readingOrder="1"/>
    </xf>
    <xf numFmtId="14" fontId="47" fillId="2" borderId="56" xfId="7" applyNumberFormat="1" applyFont="1" applyFill="1" applyBorder="1" applyAlignment="1" applyProtection="1">
      <alignment horizontal="center" vertical="center"/>
      <protection locked="0"/>
    </xf>
    <xf numFmtId="14" fontId="47" fillId="2" borderId="25" xfId="7" applyNumberFormat="1" applyFont="1" applyFill="1" applyBorder="1" applyAlignment="1" applyProtection="1">
      <alignment horizontal="center" vertical="center"/>
      <protection locked="0"/>
    </xf>
    <xf numFmtId="14" fontId="47" fillId="2" borderId="51" xfId="7" applyNumberFormat="1" applyFont="1" applyFill="1" applyBorder="1" applyAlignment="1" applyProtection="1">
      <alignment horizontal="center" vertical="center"/>
      <protection locked="0"/>
    </xf>
    <xf numFmtId="14" fontId="47" fillId="2" borderId="31" xfId="7" applyNumberFormat="1" applyFont="1" applyFill="1" applyBorder="1" applyAlignment="1" applyProtection="1">
      <alignment horizontal="center" vertical="center"/>
      <protection locked="0"/>
    </xf>
    <xf numFmtId="0" fontId="46" fillId="5" borderId="56" xfId="6" applyFont="1" applyFill="1" applyBorder="1" applyAlignment="1">
      <alignment horizontal="left" vertical="center" wrapText="1" indent="1"/>
    </xf>
    <xf numFmtId="0" fontId="46" fillId="5" borderId="11" xfId="6" applyFont="1" applyFill="1" applyBorder="1" applyAlignment="1">
      <alignment horizontal="left" vertical="center" wrapText="1" indent="1"/>
    </xf>
    <xf numFmtId="0" fontId="46" fillId="5" borderId="41" xfId="6" applyFont="1" applyFill="1" applyBorder="1" applyAlignment="1">
      <alignment horizontal="left" vertical="center" wrapText="1" indent="1"/>
    </xf>
    <xf numFmtId="0" fontId="46" fillId="5" borderId="51" xfId="6" applyFont="1" applyFill="1" applyBorder="1" applyAlignment="1">
      <alignment horizontal="left" vertical="center" wrapText="1" indent="1"/>
    </xf>
    <xf numFmtId="0" fontId="46" fillId="5" borderId="52" xfId="6" applyFont="1" applyFill="1" applyBorder="1" applyAlignment="1">
      <alignment horizontal="left" vertical="center" wrapText="1" indent="1"/>
    </xf>
    <xf numFmtId="0" fontId="46" fillId="5" borderId="42" xfId="6" applyFont="1" applyFill="1" applyBorder="1" applyAlignment="1">
      <alignment horizontal="left" vertical="center" wrapText="1" indent="1"/>
    </xf>
    <xf numFmtId="0" fontId="56" fillId="5" borderId="123" xfId="0" applyFont="1" applyFill="1" applyBorder="1" applyAlignment="1">
      <alignment horizontal="center" vertical="center" wrapText="1"/>
    </xf>
    <xf numFmtId="0" fontId="56" fillId="5" borderId="124" xfId="0" applyFont="1" applyFill="1" applyBorder="1" applyAlignment="1">
      <alignment horizontal="center" vertical="center" wrapText="1"/>
    </xf>
    <xf numFmtId="0" fontId="5" fillId="3" borderId="0" xfId="0" applyFont="1" applyFill="1" applyAlignment="1">
      <alignment horizontal="center" vertical="center"/>
    </xf>
    <xf numFmtId="164" fontId="6" fillId="3" borderId="0" xfId="0" applyNumberFormat="1" applyFont="1" applyFill="1" applyAlignment="1">
      <alignment horizontal="right" vertical="center"/>
    </xf>
    <xf numFmtId="0" fontId="6" fillId="32" borderId="1" xfId="0" applyFont="1" applyFill="1" applyBorder="1" applyAlignment="1">
      <alignment horizontal="center" vertical="center" wrapText="1"/>
    </xf>
    <xf numFmtId="0" fontId="6" fillId="32" borderId="2" xfId="0" applyFont="1" applyFill="1" applyBorder="1" applyAlignment="1">
      <alignment horizontal="center" vertical="center" wrapText="1"/>
    </xf>
    <xf numFmtId="0" fontId="6" fillId="32" borderId="3" xfId="0" applyFont="1" applyFill="1" applyBorder="1" applyAlignment="1">
      <alignment horizontal="center" vertical="center" wrapText="1"/>
    </xf>
    <xf numFmtId="0" fontId="6" fillId="32" borderId="4" xfId="0" applyFont="1" applyFill="1" applyBorder="1" applyAlignment="1">
      <alignment horizontal="center" vertical="center" wrapText="1"/>
    </xf>
    <xf numFmtId="0" fontId="6" fillId="4" borderId="8" xfId="0" applyFont="1" applyFill="1" applyBorder="1" applyAlignment="1">
      <alignment horizontal="center"/>
    </xf>
    <xf numFmtId="0" fontId="6" fillId="4" borderId="4" xfId="0" applyFont="1" applyFill="1" applyBorder="1" applyAlignment="1">
      <alignment horizontal="center"/>
    </xf>
    <xf numFmtId="0" fontId="6" fillId="4" borderId="3" xfId="0" applyFont="1" applyFill="1" applyBorder="1" applyAlignment="1">
      <alignment horizontal="center"/>
    </xf>
    <xf numFmtId="0" fontId="6" fillId="4" borderId="99" xfId="0" applyFont="1" applyFill="1" applyBorder="1" applyAlignment="1">
      <alignment horizontal="center"/>
    </xf>
    <xf numFmtId="0" fontId="6" fillId="4" borderId="0" xfId="0" applyFont="1" applyFill="1" applyAlignment="1">
      <alignment horizontal="center"/>
    </xf>
    <xf numFmtId="0" fontId="6" fillId="4" borderId="111" xfId="0" applyFont="1" applyFill="1" applyBorder="1" applyAlignment="1">
      <alignment horizontal="center"/>
    </xf>
    <xf numFmtId="0" fontId="66" fillId="5" borderId="1" xfId="0" quotePrefix="1" applyFont="1" applyFill="1" applyBorder="1" applyAlignment="1">
      <alignment horizontal="center" vertical="center" wrapText="1"/>
    </xf>
    <xf numFmtId="0" fontId="66" fillId="5" borderId="9" xfId="0" quotePrefix="1" applyFont="1" applyFill="1" applyBorder="1" applyAlignment="1">
      <alignment horizontal="center" vertical="center" wrapText="1"/>
    </xf>
    <xf numFmtId="0" fontId="66" fillId="5" borderId="2" xfId="0" quotePrefix="1" applyFont="1" applyFill="1" applyBorder="1" applyAlignment="1">
      <alignment horizontal="center" vertical="center" wrapText="1"/>
    </xf>
    <xf numFmtId="0" fontId="70" fillId="5" borderId="99" xfId="0" applyFont="1" applyFill="1" applyBorder="1" applyAlignment="1">
      <alignment horizontal="center" vertical="center" wrapText="1"/>
    </xf>
    <xf numFmtId="0" fontId="66" fillId="5" borderId="0" xfId="0" applyFont="1" applyFill="1" applyAlignment="1">
      <alignment horizontal="center" vertical="center" wrapText="1"/>
    </xf>
    <xf numFmtId="0" fontId="66" fillId="5" borderId="111" xfId="0" applyFont="1" applyFill="1" applyBorder="1" applyAlignment="1">
      <alignment horizontal="center" vertical="center" wrapText="1"/>
    </xf>
    <xf numFmtId="0" fontId="66" fillId="5" borderId="99" xfId="0" applyFont="1" applyFill="1" applyBorder="1" applyAlignment="1">
      <alignment horizontal="center" vertical="center" wrapText="1"/>
    </xf>
    <xf numFmtId="0" fontId="6" fillId="4" borderId="90" xfId="0" applyFont="1" applyFill="1" applyBorder="1" applyAlignment="1">
      <alignment horizontal="center" vertical="center" textRotation="90"/>
    </xf>
    <xf numFmtId="0" fontId="6" fillId="4" borderId="91" xfId="0" applyFont="1" applyFill="1" applyBorder="1" applyAlignment="1">
      <alignment horizontal="center" vertical="center" textRotation="90"/>
    </xf>
    <xf numFmtId="165" fontId="41" fillId="7" borderId="1" xfId="0" applyNumberFormat="1" applyFont="1" applyFill="1" applyBorder="1" applyAlignment="1">
      <alignment horizontal="center" vertical="center" wrapText="1"/>
    </xf>
    <xf numFmtId="165" fontId="41" fillId="7" borderId="9" xfId="0" applyNumberFormat="1" applyFont="1" applyFill="1" applyBorder="1" applyAlignment="1">
      <alignment horizontal="center" vertical="center" wrapText="1"/>
    </xf>
    <xf numFmtId="165" fontId="41" fillId="7" borderId="2" xfId="0" applyNumberFormat="1" applyFont="1" applyFill="1" applyBorder="1" applyAlignment="1">
      <alignment horizontal="center" vertical="center" wrapText="1"/>
    </xf>
    <xf numFmtId="165" fontId="41" fillId="9" borderId="1" xfId="0" applyNumberFormat="1" applyFont="1" applyFill="1" applyBorder="1" applyAlignment="1">
      <alignment horizontal="center" vertical="center" wrapText="1"/>
    </xf>
    <xf numFmtId="165" fontId="41" fillId="9" borderId="9" xfId="0" applyNumberFormat="1" applyFont="1" applyFill="1" applyBorder="1" applyAlignment="1">
      <alignment horizontal="center" vertical="center" wrapText="1"/>
    </xf>
    <xf numFmtId="165" fontId="41" fillId="9" borderId="2" xfId="0" applyNumberFormat="1" applyFont="1" applyFill="1" applyBorder="1" applyAlignment="1">
      <alignment horizontal="center" vertical="center" wrapText="1"/>
    </xf>
    <xf numFmtId="165" fontId="41" fillId="8" borderId="1" xfId="0" applyNumberFormat="1" applyFont="1" applyFill="1" applyBorder="1" applyAlignment="1">
      <alignment horizontal="center" vertical="center" wrapText="1"/>
    </xf>
    <xf numFmtId="165" fontId="41" fillId="8" borderId="9" xfId="0" applyNumberFormat="1" applyFont="1" applyFill="1" applyBorder="1" applyAlignment="1">
      <alignment horizontal="center" vertical="center" wrapText="1"/>
    </xf>
    <xf numFmtId="165" fontId="41" fillId="8" borderId="2" xfId="0" applyNumberFormat="1" applyFont="1" applyFill="1" applyBorder="1" applyAlignment="1">
      <alignment horizontal="center" vertical="center" wrapText="1"/>
    </xf>
    <xf numFmtId="165" fontId="40" fillId="10" borderId="1" xfId="0" applyNumberFormat="1" applyFont="1" applyFill="1" applyBorder="1" applyAlignment="1">
      <alignment horizontal="center" vertical="center" wrapText="1"/>
    </xf>
    <xf numFmtId="165" fontId="40" fillId="10" borderId="9" xfId="0" applyNumberFormat="1" applyFont="1" applyFill="1" applyBorder="1" applyAlignment="1">
      <alignment horizontal="center" vertical="center" wrapText="1"/>
    </xf>
    <xf numFmtId="165" fontId="40" fillId="10" borderId="2" xfId="0" applyNumberFormat="1" applyFont="1" applyFill="1" applyBorder="1" applyAlignment="1">
      <alignment horizontal="center" vertical="center" wrapText="1"/>
    </xf>
    <xf numFmtId="0" fontId="40" fillId="7" borderId="82" xfId="0" applyFont="1" applyFill="1" applyBorder="1" applyAlignment="1">
      <alignment horizontal="center" vertical="center" wrapText="1"/>
    </xf>
    <xf numFmtId="0" fontId="40" fillId="7" borderId="84" xfId="0" applyFont="1" applyFill="1" applyBorder="1" applyAlignment="1">
      <alignment horizontal="center" vertical="center" wrapText="1"/>
    </xf>
    <xf numFmtId="0" fontId="40" fillId="7" borderId="87" xfId="0" applyFont="1" applyFill="1" applyBorder="1" applyAlignment="1">
      <alignment horizontal="center" vertical="center" wrapText="1"/>
    </xf>
    <xf numFmtId="0" fontId="40" fillId="9" borderId="82" xfId="0" applyFont="1" applyFill="1" applyBorder="1" applyAlignment="1">
      <alignment horizontal="center" vertical="center" wrapText="1"/>
    </xf>
    <xf numFmtId="0" fontId="40" fillId="9" borderId="84" xfId="0" applyFont="1" applyFill="1" applyBorder="1" applyAlignment="1">
      <alignment horizontal="center" vertical="center" wrapText="1"/>
    </xf>
    <xf numFmtId="0" fontId="40" fillId="9" borderId="87" xfId="0" applyFont="1" applyFill="1" applyBorder="1" applyAlignment="1">
      <alignment horizontal="center" vertical="center" wrapText="1"/>
    </xf>
    <xf numFmtId="0" fontId="40" fillId="8" borderId="82" xfId="0" applyFont="1" applyFill="1" applyBorder="1" applyAlignment="1">
      <alignment horizontal="center" vertical="center" wrapText="1"/>
    </xf>
    <xf numFmtId="0" fontId="40" fillId="8" borderId="84" xfId="0" applyFont="1" applyFill="1" applyBorder="1" applyAlignment="1">
      <alignment horizontal="center" vertical="center" wrapText="1"/>
    </xf>
    <xf numFmtId="0" fontId="40" fillId="8" borderId="87" xfId="0" applyFont="1" applyFill="1" applyBorder="1" applyAlignment="1">
      <alignment horizontal="center" vertical="center" wrapText="1"/>
    </xf>
    <xf numFmtId="0" fontId="40" fillId="10" borderId="82" xfId="0" applyFont="1" applyFill="1" applyBorder="1" applyAlignment="1">
      <alignment horizontal="center" vertical="center" wrapText="1"/>
    </xf>
    <xf numFmtId="0" fontId="40" fillId="10" borderId="84" xfId="0" applyFont="1" applyFill="1" applyBorder="1" applyAlignment="1">
      <alignment horizontal="center" vertical="center" wrapText="1"/>
    </xf>
    <xf numFmtId="0" fontId="40" fillId="10" borderId="87" xfId="0" applyFont="1" applyFill="1" applyBorder="1" applyAlignment="1">
      <alignment horizontal="center" vertical="center" wrapText="1"/>
    </xf>
    <xf numFmtId="0" fontId="57" fillId="7" borderId="86" xfId="0" applyFont="1" applyFill="1" applyBorder="1" applyAlignment="1">
      <alignment horizontal="center" vertical="center" wrapText="1"/>
    </xf>
    <xf numFmtId="0" fontId="57" fillId="7" borderId="85" xfId="0" applyFont="1" applyFill="1" applyBorder="1" applyAlignment="1">
      <alignment horizontal="center" vertical="center" wrapText="1"/>
    </xf>
    <xf numFmtId="0" fontId="57" fillId="7" borderId="6" xfId="0" applyFont="1" applyFill="1" applyBorder="1" applyAlignment="1">
      <alignment horizontal="center" vertical="center" wrapText="1"/>
    </xf>
    <xf numFmtId="0" fontId="57" fillId="9" borderId="86" xfId="0" applyFont="1" applyFill="1" applyBorder="1" applyAlignment="1">
      <alignment horizontal="center" vertical="center" wrapText="1"/>
    </xf>
    <xf numFmtId="0" fontId="57" fillId="9" borderId="85" xfId="0" applyFont="1" applyFill="1" applyBorder="1" applyAlignment="1">
      <alignment horizontal="center" vertical="center" wrapText="1"/>
    </xf>
    <xf numFmtId="0" fontId="57" fillId="9" borderId="6" xfId="0" applyFont="1" applyFill="1" applyBorder="1" applyAlignment="1">
      <alignment horizontal="center" vertical="center" wrapText="1"/>
    </xf>
    <xf numFmtId="0" fontId="57" fillId="8" borderId="86" xfId="0" applyFont="1" applyFill="1" applyBorder="1" applyAlignment="1">
      <alignment horizontal="center" vertical="center" wrapText="1"/>
    </xf>
    <xf numFmtId="0" fontId="57" fillId="8" borderId="85" xfId="0" applyFont="1" applyFill="1" applyBorder="1" applyAlignment="1">
      <alignment horizontal="center" vertical="center" wrapText="1"/>
    </xf>
    <xf numFmtId="0" fontId="57" fillId="8" borderId="6" xfId="0" applyFont="1" applyFill="1" applyBorder="1" applyAlignment="1">
      <alignment horizontal="center" vertical="center" wrapText="1"/>
    </xf>
    <xf numFmtId="0" fontId="57" fillId="10" borderId="86" xfId="0" applyFont="1" applyFill="1" applyBorder="1" applyAlignment="1">
      <alignment horizontal="center" vertical="center" wrapText="1"/>
    </xf>
    <xf numFmtId="0" fontId="57" fillId="10" borderId="85" xfId="0" applyFont="1" applyFill="1" applyBorder="1" applyAlignment="1">
      <alignment horizontal="center" vertical="center" wrapText="1"/>
    </xf>
    <xf numFmtId="0" fontId="57" fillId="10" borderId="6" xfId="0" applyFont="1" applyFill="1" applyBorder="1" applyAlignment="1">
      <alignment horizontal="center" vertical="center" wrapText="1"/>
    </xf>
    <xf numFmtId="0" fontId="37" fillId="12" borderId="86" xfId="0" applyFont="1" applyFill="1" applyBorder="1" applyAlignment="1">
      <alignment horizontal="center" vertical="center" wrapText="1"/>
    </xf>
    <xf numFmtId="0" fontId="37" fillId="12" borderId="85" xfId="0" applyFont="1" applyFill="1" applyBorder="1" applyAlignment="1">
      <alignment horizontal="center" vertical="center" wrapText="1"/>
    </xf>
    <xf numFmtId="0" fontId="37" fillId="12" borderId="6" xfId="0" applyFont="1" applyFill="1" applyBorder="1" applyAlignment="1">
      <alignment horizontal="center" vertical="center" wrapText="1"/>
    </xf>
    <xf numFmtId="0" fontId="37" fillId="14" borderId="86" xfId="0" applyFont="1" applyFill="1" applyBorder="1" applyAlignment="1">
      <alignment horizontal="center" vertical="center" wrapText="1"/>
    </xf>
    <xf numFmtId="0" fontId="37" fillId="14" borderId="85" xfId="0" applyFont="1" applyFill="1" applyBorder="1" applyAlignment="1">
      <alignment horizontal="center" vertical="center" wrapText="1"/>
    </xf>
    <xf numFmtId="0" fontId="37" fillId="14" borderId="6" xfId="0" applyFont="1" applyFill="1" applyBorder="1" applyAlignment="1">
      <alignment horizontal="center" vertical="center" wrapText="1"/>
    </xf>
    <xf numFmtId="0" fontId="37" fillId="13" borderId="86" xfId="0" applyFont="1" applyFill="1" applyBorder="1" applyAlignment="1">
      <alignment horizontal="center" vertical="center" wrapText="1"/>
    </xf>
    <xf numFmtId="0" fontId="37" fillId="13" borderId="85" xfId="0" applyFont="1" applyFill="1" applyBorder="1" applyAlignment="1">
      <alignment horizontal="center" vertical="center" wrapText="1"/>
    </xf>
    <xf numFmtId="0" fontId="37" fillId="13" borderId="6" xfId="0" applyFont="1" applyFill="1" applyBorder="1" applyAlignment="1">
      <alignment horizontal="center" vertical="center" wrapText="1"/>
    </xf>
    <xf numFmtId="0" fontId="37" fillId="19" borderId="86" xfId="0" applyFont="1" applyFill="1" applyBorder="1" applyAlignment="1">
      <alignment horizontal="center" vertical="center" wrapText="1"/>
    </xf>
    <xf numFmtId="0" fontId="37" fillId="19" borderId="85" xfId="0" applyFont="1" applyFill="1" applyBorder="1" applyAlignment="1">
      <alignment horizontal="center" vertical="center" wrapText="1"/>
    </xf>
    <xf numFmtId="0" fontId="37" fillId="19" borderId="6" xfId="0" applyFont="1" applyFill="1" applyBorder="1" applyAlignment="1">
      <alignment horizontal="center" vertical="center" wrapText="1"/>
    </xf>
    <xf numFmtId="0" fontId="35" fillId="14" borderId="105" xfId="0" applyFont="1" applyFill="1" applyBorder="1" applyAlignment="1" applyProtection="1">
      <alignment horizontal="left" vertical="center" indent="1"/>
      <protection locked="0"/>
    </xf>
    <xf numFmtId="0" fontId="35" fillId="14" borderId="107" xfId="0" applyFont="1" applyFill="1" applyBorder="1" applyAlignment="1" applyProtection="1">
      <alignment horizontal="left" vertical="center" indent="1"/>
      <protection locked="0"/>
    </xf>
    <xf numFmtId="0" fontId="35" fillId="14" borderId="106" xfId="0" applyFont="1" applyFill="1" applyBorder="1" applyAlignment="1" applyProtection="1">
      <alignment horizontal="left" vertical="center" indent="1"/>
      <protection locked="0"/>
    </xf>
    <xf numFmtId="0" fontId="35" fillId="13" borderId="105" xfId="0" applyFont="1" applyFill="1" applyBorder="1" applyAlignment="1" applyProtection="1">
      <alignment horizontal="left" vertical="center" indent="1"/>
      <protection locked="0"/>
    </xf>
    <xf numFmtId="0" fontId="35" fillId="13" borderId="107" xfId="0" applyFont="1" applyFill="1" applyBorder="1" applyAlignment="1" applyProtection="1">
      <alignment horizontal="left" vertical="center" indent="1"/>
      <protection locked="0"/>
    </xf>
    <xf numFmtId="0" fontId="35" fillId="13" borderId="106" xfId="0" applyFont="1" applyFill="1" applyBorder="1" applyAlignment="1" applyProtection="1">
      <alignment horizontal="left" vertical="center" indent="1"/>
      <protection locked="0"/>
    </xf>
    <xf numFmtId="0" fontId="35" fillId="19" borderId="105" xfId="0" applyFont="1" applyFill="1" applyBorder="1" applyAlignment="1" applyProtection="1">
      <alignment horizontal="left" vertical="center" indent="1"/>
      <protection locked="0"/>
    </xf>
    <xf numFmtId="0" fontId="35" fillId="19" borderId="107" xfId="0" applyFont="1" applyFill="1" applyBorder="1" applyAlignment="1" applyProtection="1">
      <alignment horizontal="left" vertical="center" indent="1"/>
      <protection locked="0"/>
    </xf>
    <xf numFmtId="0" fontId="35" fillId="19" borderId="106" xfId="0" applyFont="1" applyFill="1" applyBorder="1" applyAlignment="1" applyProtection="1">
      <alignment horizontal="left" vertical="center" indent="1"/>
      <protection locked="0"/>
    </xf>
    <xf numFmtId="0" fontId="39" fillId="7" borderId="105" xfId="0" quotePrefix="1" applyFont="1" applyFill="1" applyBorder="1" applyAlignment="1" applyProtection="1">
      <alignment horizontal="left" vertical="center" wrapText="1"/>
      <protection locked="0"/>
    </xf>
    <xf numFmtId="0" fontId="39" fillId="7" borderId="107" xfId="0" applyFont="1" applyFill="1" applyBorder="1" applyAlignment="1" applyProtection="1">
      <alignment horizontal="left" vertical="center" wrapText="1"/>
      <protection locked="0"/>
    </xf>
    <xf numFmtId="0" fontId="39" fillId="7" borderId="106" xfId="0" applyFont="1" applyFill="1" applyBorder="1" applyAlignment="1" applyProtection="1">
      <alignment horizontal="left" vertical="center" wrapText="1"/>
      <protection locked="0"/>
    </xf>
    <xf numFmtId="0" fontId="39" fillId="9" borderId="105" xfId="0" applyFont="1" applyFill="1" applyBorder="1" applyAlignment="1" applyProtection="1">
      <alignment horizontal="left" vertical="center" wrapText="1" indent="1"/>
      <protection locked="0"/>
    </xf>
    <xf numFmtId="0" fontId="39" fillId="9" borderId="107" xfId="0" applyFont="1" applyFill="1" applyBorder="1" applyAlignment="1" applyProtection="1">
      <alignment horizontal="left" vertical="center" wrapText="1" indent="1"/>
      <protection locked="0"/>
    </xf>
    <xf numFmtId="0" fontId="39" fillId="9" borderId="106" xfId="0" applyFont="1" applyFill="1" applyBorder="1" applyAlignment="1" applyProtection="1">
      <alignment horizontal="left" vertical="center" wrapText="1" indent="1"/>
      <protection locked="0"/>
    </xf>
    <xf numFmtId="0" fontId="39" fillId="8" borderId="105" xfId="1" applyFont="1" applyFill="1" applyBorder="1" applyAlignment="1" applyProtection="1">
      <alignment horizontal="left" vertical="center" wrapText="1" indent="1"/>
      <protection locked="0"/>
    </xf>
    <xf numFmtId="0" fontId="39" fillId="8" borderId="107" xfId="1" applyFont="1" applyFill="1" applyBorder="1" applyAlignment="1" applyProtection="1">
      <alignment horizontal="left" vertical="center" wrapText="1" indent="1"/>
      <protection locked="0"/>
    </xf>
    <xf numFmtId="0" fontId="39" fillId="8" borderId="106" xfId="1" applyFont="1" applyFill="1" applyBorder="1" applyAlignment="1" applyProtection="1">
      <alignment horizontal="left" vertical="center" wrapText="1" indent="1"/>
      <protection locked="0"/>
    </xf>
    <xf numFmtId="0" fontId="39" fillId="10" borderId="103" xfId="0" applyFont="1" applyFill="1" applyBorder="1" applyAlignment="1" applyProtection="1">
      <alignment horizontal="left" vertical="center" wrapText="1" indent="1"/>
      <protection locked="0"/>
    </xf>
    <xf numFmtId="0" fontId="53" fillId="28" borderId="116" xfId="0" applyFont="1" applyFill="1" applyBorder="1" applyAlignment="1">
      <alignment vertical="top" wrapText="1"/>
    </xf>
    <xf numFmtId="0" fontId="53" fillId="28" borderId="115" xfId="0" applyFont="1" applyFill="1" applyBorder="1" applyAlignment="1">
      <alignment vertical="top" wrapText="1"/>
    </xf>
    <xf numFmtId="0" fontId="53" fillId="28" borderId="114" xfId="0" applyFont="1" applyFill="1" applyBorder="1" applyAlignment="1">
      <alignment vertical="top" wrapText="1"/>
    </xf>
    <xf numFmtId="0" fontId="53" fillId="14" borderId="105" xfId="0" applyFont="1" applyFill="1" applyBorder="1" applyAlignment="1" applyProtection="1">
      <alignment horizontal="left" vertical="top" wrapText="1" indent="1"/>
      <protection locked="0"/>
    </xf>
    <xf numFmtId="0" fontId="46" fillId="14" borderId="107" xfId="0" applyFont="1" applyFill="1" applyBorder="1" applyAlignment="1" applyProtection="1">
      <alignment horizontal="left" vertical="top" wrapText="1" indent="1"/>
      <protection locked="0"/>
    </xf>
    <xf numFmtId="0" fontId="46" fillId="14" borderId="106" xfId="0" applyFont="1" applyFill="1" applyBorder="1" applyAlignment="1" applyProtection="1">
      <alignment horizontal="left" vertical="top" wrapText="1" indent="1"/>
      <protection locked="0"/>
    </xf>
    <xf numFmtId="0" fontId="69" fillId="13" borderId="105" xfId="0" quotePrefix="1" applyFont="1" applyFill="1" applyBorder="1" applyAlignment="1" applyProtection="1">
      <alignment horizontal="left" vertical="top" wrapText="1" indent="1"/>
      <protection locked="0"/>
    </xf>
    <xf numFmtId="0" fontId="46" fillId="13" borderId="107" xfId="0" applyFont="1" applyFill="1" applyBorder="1" applyAlignment="1" applyProtection="1">
      <alignment horizontal="left" vertical="top" wrapText="1" indent="1"/>
      <protection locked="0"/>
    </xf>
    <xf numFmtId="0" fontId="46" fillId="13" borderId="106" xfId="0" applyFont="1" applyFill="1" applyBorder="1" applyAlignment="1" applyProtection="1">
      <alignment horizontal="left" vertical="top" wrapText="1" indent="1"/>
      <protection locked="0"/>
    </xf>
    <xf numFmtId="0" fontId="69" fillId="19" borderId="105" xfId="0" applyFont="1" applyFill="1" applyBorder="1" applyAlignment="1" applyProtection="1">
      <alignment horizontal="left" vertical="top" wrapText="1" indent="1"/>
      <protection locked="0"/>
    </xf>
    <xf numFmtId="0" fontId="46" fillId="19" borderId="107" xfId="0" applyFont="1" applyFill="1" applyBorder="1" applyAlignment="1" applyProtection="1">
      <alignment horizontal="left" vertical="top" wrapText="1" indent="1"/>
      <protection locked="0"/>
    </xf>
    <xf numFmtId="0" fontId="46" fillId="19" borderId="106" xfId="0" applyFont="1" applyFill="1" applyBorder="1" applyAlignment="1" applyProtection="1">
      <alignment horizontal="left" vertical="top" wrapText="1" indent="1"/>
      <protection locked="0"/>
    </xf>
    <xf numFmtId="0" fontId="35" fillId="12" borderId="105" xfId="0" applyFont="1" applyFill="1" applyBorder="1" applyAlignment="1" applyProtection="1">
      <alignment horizontal="left" vertical="center" indent="1"/>
      <protection locked="0"/>
    </xf>
    <xf numFmtId="0" fontId="35" fillId="12" borderId="107" xfId="0" applyFont="1" applyFill="1" applyBorder="1" applyAlignment="1" applyProtection="1">
      <alignment horizontal="left" vertical="center" indent="1"/>
      <protection locked="0"/>
    </xf>
    <xf numFmtId="0" fontId="35" fillId="12" borderId="106" xfId="0" applyFont="1" applyFill="1" applyBorder="1" applyAlignment="1" applyProtection="1">
      <alignment horizontal="left" vertical="center" indent="1"/>
      <protection locked="0"/>
    </xf>
    <xf numFmtId="0" fontId="48" fillId="28" borderId="115" xfId="0" applyFont="1" applyFill="1" applyBorder="1" applyAlignment="1">
      <alignment vertical="top" wrapText="1"/>
    </xf>
    <xf numFmtId="0" fontId="48" fillId="28" borderId="114" xfId="0" applyFont="1" applyFill="1" applyBorder="1" applyAlignment="1">
      <alignment vertical="top" wrapText="1"/>
    </xf>
    <xf numFmtId="0" fontId="69" fillId="14" borderId="105" xfId="0" applyFont="1" applyFill="1" applyBorder="1" applyAlignment="1" applyProtection="1">
      <alignment horizontal="left" vertical="top" wrapText="1" indent="1"/>
      <protection locked="0"/>
    </xf>
    <xf numFmtId="0" fontId="46" fillId="19" borderId="103" xfId="0" applyFont="1" applyFill="1" applyBorder="1" applyAlignment="1" applyProtection="1">
      <alignment horizontal="left" vertical="top" wrapText="1" indent="1"/>
      <protection locked="0"/>
    </xf>
    <xf numFmtId="0" fontId="3" fillId="19" borderId="103" xfId="0" applyFont="1" applyFill="1" applyBorder="1" applyAlignment="1" applyProtection="1">
      <alignment horizontal="left" vertical="top" wrapText="1" indent="1"/>
      <protection locked="0"/>
    </xf>
    <xf numFmtId="0" fontId="53" fillId="31" borderId="119" xfId="0" applyFont="1" applyFill="1" applyBorder="1" applyAlignment="1">
      <alignment horizontal="left" vertical="top" wrapText="1" indent="1"/>
    </xf>
    <xf numFmtId="0" fontId="53" fillId="31" borderId="120" xfId="0" applyFont="1" applyFill="1" applyBorder="1" applyAlignment="1">
      <alignment horizontal="left" vertical="top" wrapText="1" indent="1"/>
    </xf>
    <xf numFmtId="0" fontId="39" fillId="30" borderId="105" xfId="0" applyFont="1" applyFill="1" applyBorder="1" applyAlignment="1">
      <alignment horizontal="left" vertical="center" wrapText="1" indent="1"/>
    </xf>
    <xf numFmtId="0" fontId="39" fillId="30" borderId="107" xfId="0" applyFont="1" applyFill="1" applyBorder="1" applyAlignment="1">
      <alignment horizontal="left" vertical="center" wrapText="1" indent="1"/>
    </xf>
    <xf numFmtId="0" fontId="73" fillId="13" borderId="105" xfId="0" quotePrefix="1" applyFont="1" applyFill="1" applyBorder="1" applyAlignment="1" applyProtection="1">
      <alignment horizontal="left" vertical="top" wrapText="1" indent="1"/>
      <protection locked="0"/>
    </xf>
    <xf numFmtId="0" fontId="75" fillId="13" borderId="107" xfId="0" applyFont="1" applyFill="1" applyBorder="1" applyAlignment="1" applyProtection="1">
      <alignment horizontal="left" vertical="top" wrapText="1" indent="1"/>
      <protection locked="0"/>
    </xf>
    <xf numFmtId="0" fontId="75" fillId="13" borderId="106" xfId="0" applyFont="1" applyFill="1" applyBorder="1" applyAlignment="1" applyProtection="1">
      <alignment horizontal="left" vertical="top" wrapText="1" indent="1"/>
      <protection locked="0"/>
    </xf>
    <xf numFmtId="0" fontId="39" fillId="10" borderId="105" xfId="0" applyFont="1" applyFill="1" applyBorder="1" applyAlignment="1" applyProtection="1">
      <alignment horizontal="left" vertical="center" wrapText="1" indent="1"/>
      <protection locked="0"/>
    </xf>
    <xf numFmtId="0" fontId="39" fillId="10" borderId="107" xfId="0" applyFont="1" applyFill="1" applyBorder="1" applyAlignment="1" applyProtection="1">
      <alignment horizontal="left" vertical="center" wrapText="1" indent="1"/>
      <protection locked="0"/>
    </xf>
    <xf numFmtId="0" fontId="39" fillId="10" borderId="106" xfId="0" applyFont="1" applyFill="1" applyBorder="1" applyAlignment="1" applyProtection="1">
      <alignment horizontal="left" vertical="center" wrapText="1" indent="1"/>
      <protection locked="0"/>
    </xf>
    <xf numFmtId="0" fontId="7" fillId="28" borderId="116" xfId="0" applyFont="1" applyFill="1" applyBorder="1" applyAlignment="1">
      <alignment vertical="top" wrapText="1"/>
    </xf>
    <xf numFmtId="0" fontId="7" fillId="28" borderId="115" xfId="0" applyFont="1" applyFill="1" applyBorder="1" applyAlignment="1">
      <alignment vertical="top" wrapText="1"/>
    </xf>
    <xf numFmtId="0" fontId="7" fillId="28" borderId="114" xfId="0" applyFont="1" applyFill="1" applyBorder="1" applyAlignment="1">
      <alignment vertical="top" wrapText="1"/>
    </xf>
    <xf numFmtId="0" fontId="53" fillId="31" borderId="122" xfId="0" applyFont="1" applyFill="1" applyBorder="1" applyAlignment="1">
      <alignment horizontal="left" vertical="top" wrapText="1" indent="1"/>
    </xf>
    <xf numFmtId="0" fontId="53" fillId="31" borderId="107" xfId="0" applyFont="1" applyFill="1" applyBorder="1" applyAlignment="1">
      <alignment horizontal="left" vertical="top" wrapText="1" indent="1"/>
    </xf>
    <xf numFmtId="0" fontId="26" fillId="28" borderId="116" xfId="0" applyFont="1" applyFill="1" applyBorder="1" applyAlignment="1">
      <alignment vertical="top" wrapText="1"/>
    </xf>
    <xf numFmtId="0" fontId="3" fillId="14" borderId="105" xfId="0" applyFont="1" applyFill="1" applyBorder="1" applyAlignment="1" applyProtection="1">
      <alignment horizontal="left" vertical="top" wrapText="1" indent="1"/>
      <protection locked="0"/>
    </xf>
    <xf numFmtId="0" fontId="0" fillId="14" borderId="107" xfId="0" applyFill="1" applyBorder="1" applyAlignment="1" applyProtection="1">
      <alignment horizontal="left" vertical="top" wrapText="1" indent="1"/>
      <protection locked="0"/>
    </xf>
    <xf numFmtId="0" fontId="0" fillId="14" borderId="106" xfId="0" applyFill="1" applyBorder="1" applyAlignment="1" applyProtection="1">
      <alignment horizontal="left" vertical="top" wrapText="1" indent="1"/>
      <protection locked="0"/>
    </xf>
    <xf numFmtId="0" fontId="71" fillId="13" borderId="105" xfId="0" applyFont="1" applyFill="1" applyBorder="1" applyAlignment="1" applyProtection="1">
      <alignment horizontal="left" vertical="top" wrapText="1" indent="1"/>
      <protection locked="0"/>
    </xf>
    <xf numFmtId="0" fontId="72" fillId="19" borderId="105" xfId="0" applyFont="1" applyFill="1" applyBorder="1" applyAlignment="1" applyProtection="1">
      <alignment horizontal="left" vertical="center" indent="1"/>
      <protection locked="0"/>
    </xf>
    <xf numFmtId="0" fontId="72" fillId="19" borderId="107" xfId="0" applyFont="1" applyFill="1" applyBorder="1" applyAlignment="1" applyProtection="1">
      <alignment horizontal="left" vertical="center" indent="1"/>
      <protection locked="0"/>
    </xf>
    <xf numFmtId="0" fontId="72" fillId="19" borderId="106" xfId="0" applyFont="1" applyFill="1" applyBorder="1" applyAlignment="1" applyProtection="1">
      <alignment horizontal="left" vertical="center" indent="1"/>
      <protection locked="0"/>
    </xf>
    <xf numFmtId="0" fontId="39" fillId="29" borderId="118" xfId="0" applyFont="1" applyFill="1" applyBorder="1" applyAlignment="1">
      <alignment vertical="center" wrapText="1"/>
    </xf>
    <xf numFmtId="0" fontId="39" fillId="29" borderId="113" xfId="0" applyFont="1" applyFill="1" applyBorder="1" applyAlignment="1">
      <alignment vertical="center" wrapText="1"/>
    </xf>
    <xf numFmtId="0" fontId="39" fillId="29" borderId="112" xfId="0" applyFont="1" applyFill="1" applyBorder="1" applyAlignment="1">
      <alignment vertical="center" wrapText="1"/>
    </xf>
    <xf numFmtId="0" fontId="39" fillId="8" borderId="103" xfId="1" applyFont="1" applyFill="1" applyBorder="1" applyAlignment="1" applyProtection="1">
      <alignment horizontal="left" vertical="center" wrapText="1" indent="1"/>
      <protection locked="0"/>
    </xf>
    <xf numFmtId="0" fontId="39" fillId="29" borderId="116" xfId="0" applyFont="1" applyFill="1" applyBorder="1" applyAlignment="1">
      <alignment vertical="center" wrapText="1"/>
    </xf>
    <xf numFmtId="0" fontId="39" fillId="29" borderId="115" xfId="0" applyFont="1" applyFill="1" applyBorder="1" applyAlignment="1">
      <alignment vertical="center" wrapText="1"/>
    </xf>
    <xf numFmtId="0" fontId="39" fillId="29" borderId="114" xfId="0" applyFont="1" applyFill="1" applyBorder="1" applyAlignment="1">
      <alignment vertical="center" wrapText="1"/>
    </xf>
    <xf numFmtId="0" fontId="53" fillId="31" borderId="121" xfId="0" applyFont="1" applyFill="1" applyBorder="1" applyAlignment="1">
      <alignment horizontal="left" vertical="top" wrapText="1" indent="1"/>
    </xf>
    <xf numFmtId="0" fontId="3" fillId="12" borderId="105" xfId="0" applyFont="1" applyFill="1" applyBorder="1" applyAlignment="1" applyProtection="1">
      <alignment horizontal="left" vertical="top" wrapText="1" indent="1"/>
      <protection locked="0"/>
    </xf>
    <xf numFmtId="0" fontId="0" fillId="12" borderId="107" xfId="0" applyFill="1" applyBorder="1" applyAlignment="1" applyProtection="1">
      <alignment horizontal="left" vertical="top" wrapText="1" indent="1"/>
      <protection locked="0"/>
    </xf>
    <xf numFmtId="0" fontId="0" fillId="12" borderId="106" xfId="0" applyFill="1" applyBorder="1" applyAlignment="1" applyProtection="1">
      <alignment horizontal="left" vertical="top" wrapText="1" indent="1"/>
      <protection locked="0"/>
    </xf>
    <xf numFmtId="0" fontId="69" fillId="13" borderId="105" xfId="0" applyFont="1" applyFill="1" applyBorder="1" applyAlignment="1" applyProtection="1">
      <alignment horizontal="left" vertical="top" wrapText="1" indent="1"/>
      <protection locked="0"/>
    </xf>
    <xf numFmtId="0" fontId="3" fillId="19" borderId="105" xfId="0" applyFont="1" applyFill="1" applyBorder="1" applyAlignment="1" applyProtection="1">
      <alignment horizontal="left" vertical="top" wrapText="1" indent="1"/>
      <protection locked="0"/>
    </xf>
    <xf numFmtId="0" fontId="3" fillId="19" borderId="107" xfId="0" applyFont="1" applyFill="1" applyBorder="1" applyAlignment="1" applyProtection="1">
      <alignment horizontal="left" vertical="top" wrapText="1" indent="1"/>
      <protection locked="0"/>
    </xf>
    <xf numFmtId="0" fontId="3" fillId="19" borderId="106" xfId="0" applyFont="1" applyFill="1" applyBorder="1" applyAlignment="1" applyProtection="1">
      <alignment horizontal="left" vertical="top" wrapText="1" indent="1"/>
      <protection locked="0"/>
    </xf>
    <xf numFmtId="0" fontId="25" fillId="12" borderId="105" xfId="0" applyFont="1" applyFill="1" applyBorder="1" applyAlignment="1" applyProtection="1">
      <alignment horizontal="left" vertical="top" wrapText="1" indent="1"/>
      <protection locked="0"/>
    </xf>
    <xf numFmtId="0" fontId="3" fillId="13" borderId="105" xfId="0" applyFont="1" applyFill="1" applyBorder="1" applyAlignment="1" applyProtection="1">
      <alignment horizontal="left" vertical="top" wrapText="1" indent="1"/>
      <protection locked="0"/>
    </xf>
    <xf numFmtId="0" fontId="0" fillId="13" borderId="107" xfId="0" applyFill="1" applyBorder="1" applyAlignment="1" applyProtection="1">
      <alignment horizontal="left" vertical="top" wrapText="1" indent="1"/>
      <protection locked="0"/>
    </xf>
    <xf numFmtId="0" fontId="0" fillId="13" borderId="106" xfId="0" applyFill="1" applyBorder="1" applyAlignment="1" applyProtection="1">
      <alignment horizontal="left" vertical="top" wrapText="1" indent="1"/>
      <protection locked="0"/>
    </xf>
    <xf numFmtId="0" fontId="3" fillId="14" borderId="105" xfId="0" quotePrefix="1" applyFont="1" applyFill="1" applyBorder="1" applyAlignment="1" applyProtection="1">
      <alignment horizontal="left" vertical="center" wrapText="1"/>
      <protection locked="0"/>
    </xf>
    <xf numFmtId="0" fontId="3" fillId="14" borderId="106" xfId="0" quotePrefix="1" applyFont="1" applyFill="1" applyBorder="1" applyAlignment="1" applyProtection="1">
      <alignment horizontal="left" vertical="center" wrapText="1"/>
      <protection locked="0"/>
    </xf>
    <xf numFmtId="0" fontId="3" fillId="13" borderId="105" xfId="0" applyFont="1" applyFill="1" applyBorder="1" applyAlignment="1" applyProtection="1">
      <alignment horizontal="left" vertical="center" wrapText="1"/>
      <protection locked="0"/>
    </xf>
    <xf numFmtId="0" fontId="3" fillId="13" borderId="106" xfId="0" applyFont="1" applyFill="1" applyBorder="1" applyAlignment="1" applyProtection="1">
      <alignment horizontal="left" vertical="center" wrapText="1"/>
      <protection locked="0"/>
    </xf>
    <xf numFmtId="0" fontId="3" fillId="19" borderId="105" xfId="0" applyFont="1" applyFill="1" applyBorder="1" applyAlignment="1" applyProtection="1">
      <alignment horizontal="left" vertical="center"/>
      <protection locked="0"/>
    </xf>
    <xf numFmtId="0" fontId="3" fillId="19" borderId="106" xfId="0" applyFont="1" applyFill="1" applyBorder="1" applyAlignment="1" applyProtection="1">
      <alignment horizontal="left" vertical="center"/>
      <protection locked="0"/>
    </xf>
    <xf numFmtId="0" fontId="3" fillId="12" borderId="105" xfId="0" quotePrefix="1" applyFont="1" applyFill="1" applyBorder="1" applyAlignment="1" applyProtection="1">
      <alignment horizontal="left" vertical="center" wrapText="1"/>
      <protection locked="0"/>
    </xf>
    <xf numFmtId="0" fontId="3" fillId="12" borderId="106" xfId="0" quotePrefix="1" applyFont="1" applyFill="1" applyBorder="1" applyAlignment="1" applyProtection="1">
      <alignment horizontal="left" vertical="center" wrapText="1"/>
      <protection locked="0"/>
    </xf>
    <xf numFmtId="0" fontId="3" fillId="19" borderId="105" xfId="0" applyFont="1" applyFill="1" applyBorder="1" applyAlignment="1" applyProtection="1">
      <alignment horizontal="left" vertical="center" wrapText="1"/>
      <protection locked="0"/>
    </xf>
    <xf numFmtId="0" fontId="3" fillId="19" borderId="106" xfId="0" applyFont="1" applyFill="1" applyBorder="1" applyAlignment="1" applyProtection="1">
      <alignment horizontal="left" vertical="center" wrapText="1"/>
      <protection locked="0"/>
    </xf>
    <xf numFmtId="0" fontId="56" fillId="5" borderId="96" xfId="0" applyFont="1" applyFill="1" applyBorder="1" applyAlignment="1">
      <alignment horizontal="center" vertical="center" wrapText="1"/>
    </xf>
    <xf numFmtId="0" fontId="56" fillId="5" borderId="97" xfId="0" applyFont="1" applyFill="1" applyBorder="1" applyAlignment="1">
      <alignment horizontal="center" vertical="center" wrapText="1"/>
    </xf>
    <xf numFmtId="0" fontId="56" fillId="5" borderId="109" xfId="0" applyFont="1" applyFill="1" applyBorder="1" applyAlignment="1">
      <alignment horizontal="center" vertical="center" wrapText="1"/>
    </xf>
    <xf numFmtId="0" fontId="7" fillId="12" borderId="105" xfId="0" applyFont="1" applyFill="1" applyBorder="1" applyAlignment="1" applyProtection="1">
      <alignment horizontal="left" vertical="center" wrapText="1"/>
      <protection locked="0"/>
    </xf>
    <xf numFmtId="0" fontId="7" fillId="12" borderId="106" xfId="0" applyFont="1" applyFill="1" applyBorder="1" applyAlignment="1" applyProtection="1">
      <alignment horizontal="left" vertical="center" wrapText="1"/>
      <protection locked="0"/>
    </xf>
    <xf numFmtId="0" fontId="7" fillId="14" borderId="105" xfId="0" applyFont="1" applyFill="1" applyBorder="1" applyAlignment="1" applyProtection="1">
      <alignment horizontal="left" vertical="center" wrapText="1"/>
      <protection locked="0"/>
    </xf>
    <xf numFmtId="0" fontId="7" fillId="14" borderId="106" xfId="0" applyFont="1" applyFill="1" applyBorder="1" applyAlignment="1" applyProtection="1">
      <alignment horizontal="left" vertical="center" wrapText="1"/>
      <protection locked="0"/>
    </xf>
    <xf numFmtId="0" fontId="7" fillId="13" borderId="105" xfId="0" applyFont="1" applyFill="1" applyBorder="1" applyAlignment="1" applyProtection="1">
      <alignment horizontal="left" vertical="center" wrapText="1"/>
      <protection locked="0"/>
    </xf>
    <xf numFmtId="0" fontId="7" fillId="13" borderId="106" xfId="0" applyFont="1" applyFill="1" applyBorder="1" applyAlignment="1" applyProtection="1">
      <alignment horizontal="left" vertical="center" wrapText="1"/>
      <protection locked="0"/>
    </xf>
    <xf numFmtId="0" fontId="7" fillId="19" borderId="105" xfId="0" applyFont="1" applyFill="1" applyBorder="1" applyAlignment="1" applyProtection="1">
      <alignment horizontal="left" vertical="center" wrapText="1"/>
      <protection locked="0"/>
    </xf>
    <xf numFmtId="0" fontId="7" fillId="19" borderId="106" xfId="0" applyFont="1" applyFill="1" applyBorder="1" applyAlignment="1" applyProtection="1">
      <alignment horizontal="left" vertical="center" wrapText="1"/>
      <protection locked="0"/>
    </xf>
    <xf numFmtId="0" fontId="3" fillId="13" borderId="105" xfId="0" quotePrefix="1" applyFont="1" applyFill="1" applyBorder="1" applyAlignment="1" applyProtection="1">
      <alignment horizontal="left" vertical="center" wrapText="1"/>
      <protection locked="0"/>
    </xf>
    <xf numFmtId="0" fontId="3" fillId="19" borderId="105" xfId="0" quotePrefix="1" applyFont="1" applyFill="1" applyBorder="1" applyAlignment="1" applyProtection="1">
      <alignment horizontal="left" vertical="center"/>
      <protection locked="0"/>
    </xf>
    <xf numFmtId="0" fontId="3" fillId="14" borderId="105" xfId="0" quotePrefix="1" applyFont="1" applyFill="1" applyBorder="1" applyAlignment="1" applyProtection="1">
      <alignment horizontal="left" vertical="top" wrapText="1"/>
      <protection locked="0"/>
    </xf>
    <xf numFmtId="0" fontId="3" fillId="14" borderId="106" xfId="0" quotePrefix="1" applyFont="1" applyFill="1" applyBorder="1" applyAlignment="1" applyProtection="1">
      <alignment horizontal="left" vertical="top" wrapText="1"/>
      <protection locked="0"/>
    </xf>
    <xf numFmtId="0" fontId="3" fillId="12" borderId="117" xfId="0" quotePrefix="1" applyFont="1" applyFill="1" applyBorder="1" applyAlignment="1" applyProtection="1">
      <alignment horizontal="left" vertical="center" wrapText="1"/>
      <protection locked="0"/>
    </xf>
    <xf numFmtId="0" fontId="3" fillId="12" borderId="5" xfId="0" quotePrefix="1" applyFont="1" applyFill="1" applyBorder="1" applyAlignment="1" applyProtection="1">
      <alignment horizontal="left" vertical="center" wrapText="1"/>
      <protection locked="0"/>
    </xf>
    <xf numFmtId="0" fontId="3" fillId="13" borderId="106" xfId="0" quotePrefix="1" applyFont="1" applyFill="1" applyBorder="1" applyAlignment="1" applyProtection="1">
      <alignment horizontal="left" vertical="center" wrapText="1"/>
      <protection locked="0"/>
    </xf>
    <xf numFmtId="0" fontId="15" fillId="2" borderId="10" xfId="2" applyFont="1" applyFill="1" applyBorder="1" applyAlignment="1">
      <alignment horizontal="left" indent="1"/>
    </xf>
    <xf numFmtId="0" fontId="15" fillId="2" borderId="11" xfId="2" applyFont="1" applyFill="1" applyBorder="1" applyAlignment="1">
      <alignment horizontal="left" indent="1"/>
    </xf>
    <xf numFmtId="0" fontId="1" fillId="2" borderId="41" xfId="2" applyFont="1" applyFill="1" applyBorder="1" applyAlignment="1">
      <alignment horizontal="left" indent="1"/>
    </xf>
    <xf numFmtId="0" fontId="29" fillId="2" borderId="14" xfId="2" applyFont="1" applyFill="1" applyBorder="1" applyAlignment="1">
      <alignment horizontal="left" vertical="top" wrapText="1" indent="1"/>
    </xf>
    <xf numFmtId="0" fontId="29" fillId="2" borderId="0" xfId="2" applyFont="1" applyFill="1" applyAlignment="1">
      <alignment horizontal="left" vertical="top" wrapText="1" indent="1"/>
    </xf>
    <xf numFmtId="0" fontId="29" fillId="2" borderId="22" xfId="2" applyFont="1" applyFill="1" applyBorder="1" applyAlignment="1">
      <alignment horizontal="left" vertical="top" wrapText="1" indent="1"/>
    </xf>
    <xf numFmtId="0" fontId="5" fillId="3" borderId="0" xfId="0" applyFont="1" applyFill="1" applyAlignment="1">
      <alignment horizontal="right" vertical="center"/>
    </xf>
    <xf numFmtId="164" fontId="5" fillId="3" borderId="0" xfId="0" applyNumberFormat="1" applyFont="1" applyFill="1" applyAlignment="1">
      <alignment horizontal="right" vertical="center" indent="2"/>
    </xf>
    <xf numFmtId="0" fontId="6" fillId="3" borderId="1"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3" borderId="4" xfId="0" applyFont="1" applyFill="1" applyBorder="1" applyAlignment="1">
      <alignment horizontal="center" vertical="center" wrapText="1"/>
    </xf>
    <xf numFmtId="0" fontId="68" fillId="5" borderId="1" xfId="0" quotePrefix="1" applyFont="1" applyFill="1" applyBorder="1" applyAlignment="1">
      <alignment horizontal="center" vertical="center" wrapText="1"/>
    </xf>
    <xf numFmtId="0" fontId="68" fillId="5" borderId="9" xfId="0" applyFont="1" applyFill="1" applyBorder="1" applyAlignment="1">
      <alignment horizontal="center" vertical="center" wrapText="1"/>
    </xf>
    <xf numFmtId="0" fontId="68" fillId="5" borderId="2" xfId="0" applyFont="1" applyFill="1" applyBorder="1" applyAlignment="1">
      <alignment horizontal="center" vertical="center" wrapText="1"/>
    </xf>
    <xf numFmtId="0" fontId="67" fillId="5" borderId="99" xfId="0" applyFont="1" applyFill="1" applyBorder="1" applyAlignment="1">
      <alignment horizontal="center" vertical="center" wrapText="1"/>
    </xf>
    <xf numFmtId="0" fontId="67" fillId="5" borderId="0" xfId="0" applyFont="1" applyFill="1" applyAlignment="1">
      <alignment horizontal="center" vertical="center" wrapText="1"/>
    </xf>
    <xf numFmtId="0" fontId="56" fillId="5" borderId="5" xfId="0" applyFont="1" applyFill="1" applyBorder="1" applyAlignment="1">
      <alignment horizontal="center" vertical="center" wrapText="1"/>
    </xf>
    <xf numFmtId="0" fontId="56" fillId="5" borderId="6" xfId="0" applyFont="1" applyFill="1" applyBorder="1" applyAlignment="1">
      <alignment horizontal="center" vertical="center" wrapText="1"/>
    </xf>
    <xf numFmtId="165" fontId="41" fillId="6" borderId="1" xfId="0" applyNumberFormat="1" applyFont="1" applyFill="1" applyBorder="1" applyAlignment="1">
      <alignment horizontal="center" vertical="center" wrapText="1"/>
    </xf>
    <xf numFmtId="165" fontId="41" fillId="6" borderId="9" xfId="0" applyNumberFormat="1" applyFont="1" applyFill="1" applyBorder="1" applyAlignment="1">
      <alignment horizontal="center" vertical="center" wrapText="1"/>
    </xf>
    <xf numFmtId="165" fontId="41" fillId="6" borderId="2" xfId="0" applyNumberFormat="1" applyFont="1" applyFill="1" applyBorder="1" applyAlignment="1">
      <alignment horizontal="center" vertical="center" wrapText="1"/>
    </xf>
    <xf numFmtId="0" fontId="56" fillId="11" borderId="86" xfId="0" applyFont="1" applyFill="1" applyBorder="1" applyAlignment="1">
      <alignment horizontal="center" vertical="top" wrapText="1"/>
    </xf>
    <xf numFmtId="0" fontId="56" fillId="11" borderId="85" xfId="0" applyFont="1" applyFill="1" applyBorder="1" applyAlignment="1">
      <alignment horizontal="center" vertical="top" wrapText="1"/>
    </xf>
    <xf numFmtId="0" fontId="56" fillId="11" borderId="6" xfId="0" applyFont="1" applyFill="1" applyBorder="1" applyAlignment="1">
      <alignment horizontal="center" vertical="top" wrapText="1"/>
    </xf>
    <xf numFmtId="0" fontId="56" fillId="12" borderId="86" xfId="0" applyFont="1" applyFill="1" applyBorder="1" applyAlignment="1">
      <alignment horizontal="center" vertical="top" wrapText="1"/>
    </xf>
    <xf numFmtId="0" fontId="56" fillId="12" borderId="85" xfId="0" applyFont="1" applyFill="1" applyBorder="1" applyAlignment="1">
      <alignment horizontal="center" vertical="top" wrapText="1"/>
    </xf>
    <xf numFmtId="0" fontId="56" fillId="12" borderId="6" xfId="0" applyFont="1" applyFill="1" applyBorder="1" applyAlignment="1">
      <alignment horizontal="center" vertical="top" wrapText="1"/>
    </xf>
    <xf numFmtId="0" fontId="56" fillId="13" borderId="86" xfId="0" applyFont="1" applyFill="1" applyBorder="1" applyAlignment="1">
      <alignment horizontal="center" vertical="top" wrapText="1"/>
    </xf>
    <xf numFmtId="0" fontId="56" fillId="13" borderId="85" xfId="0" applyFont="1" applyFill="1" applyBorder="1" applyAlignment="1">
      <alignment horizontal="center" vertical="top" wrapText="1"/>
    </xf>
    <xf numFmtId="0" fontId="56" fillId="13" borderId="6" xfId="0" applyFont="1" applyFill="1" applyBorder="1" applyAlignment="1">
      <alignment horizontal="center" vertical="top" wrapText="1"/>
    </xf>
    <xf numFmtId="0" fontId="56" fillId="14" borderId="86" xfId="0" applyFont="1" applyFill="1" applyBorder="1" applyAlignment="1">
      <alignment horizontal="center" vertical="top" wrapText="1"/>
    </xf>
    <xf numFmtId="0" fontId="56" fillId="14" borderId="85" xfId="0" applyFont="1" applyFill="1" applyBorder="1" applyAlignment="1">
      <alignment horizontal="center" vertical="top" wrapText="1"/>
    </xf>
    <xf numFmtId="0" fontId="56" fillId="14" borderId="6" xfId="0" applyFont="1" applyFill="1" applyBorder="1" applyAlignment="1">
      <alignment horizontal="center" vertical="top" wrapText="1"/>
    </xf>
    <xf numFmtId="0" fontId="39" fillId="9" borderId="103" xfId="0" applyFont="1" applyFill="1" applyBorder="1" applyAlignment="1" applyProtection="1">
      <alignment horizontal="left" vertical="center" wrapText="1" indent="1"/>
      <protection locked="0"/>
    </xf>
    <xf numFmtId="0" fontId="3" fillId="14" borderId="103" xfId="0" applyFont="1" applyFill="1" applyBorder="1" applyAlignment="1" applyProtection="1">
      <alignment horizontal="left" vertical="top" wrapText="1" indent="1"/>
      <protection locked="0"/>
    </xf>
    <xf numFmtId="0" fontId="0" fillId="14" borderId="103" xfId="0" applyFill="1" applyBorder="1" applyAlignment="1" applyProtection="1">
      <alignment horizontal="left" vertical="top" wrapText="1" indent="1"/>
      <protection locked="0"/>
    </xf>
    <xf numFmtId="0" fontId="3" fillId="11" borderId="103" xfId="0" applyFont="1" applyFill="1" applyBorder="1" applyAlignment="1" applyProtection="1">
      <alignment horizontal="left" vertical="top" wrapText="1" indent="1"/>
      <protection locked="0"/>
    </xf>
    <xf numFmtId="0" fontId="3" fillId="12" borderId="103" xfId="0" applyFont="1" applyFill="1" applyBorder="1" applyAlignment="1" applyProtection="1">
      <alignment horizontal="left" vertical="top" wrapText="1" indent="1"/>
      <protection locked="0"/>
    </xf>
    <xf numFmtId="0" fontId="0" fillId="12" borderId="103" xfId="0" applyFill="1" applyBorder="1" applyAlignment="1" applyProtection="1">
      <alignment horizontal="left" vertical="top" wrapText="1" indent="1"/>
      <protection locked="0"/>
    </xf>
    <xf numFmtId="0" fontId="3" fillId="13" borderId="103" xfId="0" applyFont="1" applyFill="1" applyBorder="1" applyAlignment="1" applyProtection="1">
      <alignment horizontal="left" vertical="top" wrapText="1" indent="1"/>
      <protection locked="0"/>
    </xf>
    <xf numFmtId="0" fontId="0" fillId="13" borderId="103" xfId="0" applyFill="1" applyBorder="1" applyAlignment="1" applyProtection="1">
      <alignment horizontal="left" vertical="top" wrapText="1" indent="1"/>
      <protection locked="0"/>
    </xf>
    <xf numFmtId="0" fontId="3" fillId="13" borderId="103" xfId="0" quotePrefix="1" applyFont="1" applyFill="1" applyBorder="1" applyAlignment="1" applyProtection="1">
      <alignment horizontal="left" vertical="top" wrapText="1" indent="1"/>
      <protection locked="0"/>
    </xf>
    <xf numFmtId="0" fontId="7" fillId="11" borderId="103" xfId="0" applyFont="1" applyFill="1" applyBorder="1" applyAlignment="1" applyProtection="1">
      <alignment horizontal="left" vertical="top" wrapText="1" indent="1"/>
      <protection locked="0"/>
    </xf>
    <xf numFmtId="0" fontId="57" fillId="19" borderId="86" xfId="0" applyFont="1" applyFill="1" applyBorder="1" applyAlignment="1">
      <alignment horizontal="center" vertical="top" wrapText="1"/>
    </xf>
    <xf numFmtId="0" fontId="57" fillId="19" borderId="85" xfId="0" applyFont="1" applyFill="1" applyBorder="1" applyAlignment="1">
      <alignment horizontal="center" vertical="top" wrapText="1"/>
    </xf>
    <xf numFmtId="0" fontId="57" fillId="19" borderId="6" xfId="0" applyFont="1" applyFill="1" applyBorder="1" applyAlignment="1">
      <alignment horizontal="center" vertical="top" wrapText="1"/>
    </xf>
    <xf numFmtId="0" fontId="3" fillId="11" borderId="86" xfId="0" applyFont="1" applyFill="1" applyBorder="1" applyAlignment="1">
      <alignment horizontal="center" vertical="top" wrapText="1"/>
    </xf>
    <xf numFmtId="0" fontId="3" fillId="11" borderId="85" xfId="0" applyFont="1" applyFill="1" applyBorder="1" applyAlignment="1">
      <alignment horizontal="center" vertical="top" wrapText="1"/>
    </xf>
    <xf numFmtId="0" fontId="3" fillId="11" borderId="6" xfId="0" applyFont="1" applyFill="1" applyBorder="1" applyAlignment="1">
      <alignment horizontal="center" vertical="top" wrapText="1"/>
    </xf>
    <xf numFmtId="0" fontId="3" fillId="12" borderId="86" xfId="0" applyFont="1" applyFill="1" applyBorder="1" applyAlignment="1">
      <alignment horizontal="center" vertical="top" wrapText="1"/>
    </xf>
    <xf numFmtId="0" fontId="3" fillId="12" borderId="85" xfId="0" applyFont="1" applyFill="1" applyBorder="1" applyAlignment="1">
      <alignment horizontal="center" vertical="top" wrapText="1"/>
    </xf>
    <xf numFmtId="0" fontId="3" fillId="12" borderId="6" xfId="0" applyFont="1" applyFill="1" applyBorder="1" applyAlignment="1">
      <alignment horizontal="center" vertical="top" wrapText="1"/>
    </xf>
    <xf numFmtId="0" fontId="3" fillId="13" borderId="86" xfId="0" applyFont="1" applyFill="1" applyBorder="1" applyAlignment="1">
      <alignment horizontal="center" vertical="top" wrapText="1"/>
    </xf>
    <xf numFmtId="0" fontId="3" fillId="13" borderId="85" xfId="0" applyFont="1" applyFill="1" applyBorder="1" applyAlignment="1">
      <alignment horizontal="center" vertical="top" wrapText="1"/>
    </xf>
    <xf numFmtId="0" fontId="3" fillId="13" borderId="6" xfId="0" applyFont="1" applyFill="1" applyBorder="1" applyAlignment="1">
      <alignment horizontal="center" vertical="top" wrapText="1"/>
    </xf>
    <xf numFmtId="0" fontId="3" fillId="14" borderId="86" xfId="0" applyFont="1" applyFill="1" applyBorder="1" applyAlignment="1">
      <alignment horizontal="center" vertical="top" wrapText="1"/>
    </xf>
    <xf numFmtId="0" fontId="3" fillId="14" borderId="85" xfId="0" applyFont="1" applyFill="1" applyBorder="1" applyAlignment="1">
      <alignment horizontal="center" vertical="top" wrapText="1"/>
    </xf>
    <xf numFmtId="0" fontId="3" fillId="14" borderId="6" xfId="0" applyFont="1" applyFill="1" applyBorder="1" applyAlignment="1">
      <alignment horizontal="center" vertical="top" wrapText="1"/>
    </xf>
    <xf numFmtId="0" fontId="37" fillId="19" borderId="86" xfId="0" applyFont="1" applyFill="1" applyBorder="1" applyAlignment="1">
      <alignment horizontal="center" vertical="top" wrapText="1"/>
    </xf>
    <xf numFmtId="0" fontId="37" fillId="19" borderId="85" xfId="0" applyFont="1" applyFill="1" applyBorder="1" applyAlignment="1">
      <alignment horizontal="center" vertical="top" wrapText="1"/>
    </xf>
    <xf numFmtId="0" fontId="37" fillId="19" borderId="6" xfId="0" applyFont="1" applyFill="1" applyBorder="1" applyAlignment="1">
      <alignment horizontal="center" vertical="top" wrapText="1"/>
    </xf>
    <xf numFmtId="0" fontId="40" fillId="6" borderId="82" xfId="0" applyFont="1" applyFill="1" applyBorder="1" applyAlignment="1">
      <alignment horizontal="center" vertical="center" wrapText="1"/>
    </xf>
    <xf numFmtId="0" fontId="40" fillId="6" borderId="84" xfId="0" applyFont="1" applyFill="1" applyBorder="1" applyAlignment="1">
      <alignment horizontal="center" vertical="center" wrapText="1"/>
    </xf>
    <xf numFmtId="0" fontId="40" fillId="6" borderId="87" xfId="0" applyFont="1" applyFill="1" applyBorder="1" applyAlignment="1">
      <alignment horizontal="center" vertical="center" wrapText="1"/>
    </xf>
    <xf numFmtId="0" fontId="35" fillId="11" borderId="103" xfId="0" applyFont="1" applyFill="1" applyBorder="1" applyAlignment="1" applyProtection="1">
      <alignment horizontal="left" vertical="center" indent="1"/>
      <protection locked="0"/>
    </xf>
    <xf numFmtId="0" fontId="35" fillId="12" borderId="103" xfId="0" applyFont="1" applyFill="1" applyBorder="1" applyAlignment="1" applyProtection="1">
      <alignment horizontal="left" vertical="center" indent="1"/>
      <protection locked="0"/>
    </xf>
    <xf numFmtId="0" fontId="35" fillId="13" borderId="103" xfId="0" applyFont="1" applyFill="1" applyBorder="1" applyAlignment="1" applyProtection="1">
      <alignment horizontal="left" vertical="center" indent="1"/>
      <protection locked="0"/>
    </xf>
    <xf numFmtId="0" fontId="35" fillId="14" borderId="103" xfId="0" applyFont="1" applyFill="1" applyBorder="1" applyAlignment="1" applyProtection="1">
      <alignment horizontal="left" vertical="center" indent="1"/>
      <protection locked="0"/>
    </xf>
    <xf numFmtId="0" fontId="35" fillId="19" borderId="103" xfId="0" applyFont="1" applyFill="1" applyBorder="1" applyAlignment="1" applyProtection="1">
      <alignment horizontal="left" vertical="center" indent="1"/>
      <protection locked="0"/>
    </xf>
    <xf numFmtId="0" fontId="56" fillId="5" borderId="98" xfId="0" applyFont="1" applyFill="1" applyBorder="1" applyAlignment="1">
      <alignment horizontal="center" vertical="center" wrapText="1"/>
    </xf>
    <xf numFmtId="0" fontId="39" fillId="6" borderId="103" xfId="0" applyFont="1" applyFill="1" applyBorder="1" applyAlignment="1">
      <alignment horizontal="left" vertical="center" wrapText="1"/>
    </xf>
    <xf numFmtId="0" fontId="39" fillId="7" borderId="103" xfId="0" quotePrefix="1" applyFont="1" applyFill="1" applyBorder="1" applyAlignment="1" applyProtection="1">
      <alignment horizontal="left" vertical="center" wrapText="1"/>
      <protection locked="0"/>
    </xf>
    <xf numFmtId="0" fontId="39" fillId="7" borderId="103" xfId="0" applyFont="1" applyFill="1" applyBorder="1" applyAlignment="1" applyProtection="1">
      <alignment horizontal="left" vertical="center" wrapText="1"/>
      <protection locked="0"/>
    </xf>
    <xf numFmtId="0" fontId="7" fillId="13" borderId="103" xfId="0" quotePrefix="1" applyFont="1" applyFill="1" applyBorder="1" applyAlignment="1" applyProtection="1">
      <alignment horizontal="left" vertical="top" wrapText="1" indent="1"/>
      <protection locked="0"/>
    </xf>
    <xf numFmtId="0" fontId="65" fillId="6" borderId="103" xfId="0" applyFont="1" applyFill="1" applyBorder="1" applyAlignment="1">
      <alignment horizontal="left" vertical="center" wrapText="1"/>
    </xf>
    <xf numFmtId="0" fontId="0" fillId="0" borderId="103" xfId="0" quotePrefix="1" applyBorder="1"/>
    <xf numFmtId="0" fontId="39" fillId="7" borderId="105" xfId="0" quotePrefix="1" applyFont="1" applyFill="1" applyBorder="1" applyAlignment="1" applyProtection="1">
      <alignment horizontal="left" vertical="center" wrapText="1" indent="1"/>
      <protection locked="0"/>
    </xf>
    <xf numFmtId="0" fontId="39" fillId="7" borderId="107" xfId="0" quotePrefix="1" applyFont="1" applyFill="1" applyBorder="1" applyAlignment="1" applyProtection="1">
      <alignment horizontal="left" vertical="center" wrapText="1" indent="1"/>
      <protection locked="0"/>
    </xf>
    <xf numFmtId="0" fontId="39" fillId="7" borderId="106" xfId="0" quotePrefix="1" applyFont="1" applyFill="1" applyBorder="1" applyAlignment="1" applyProtection="1">
      <alignment horizontal="left" vertical="center" wrapText="1" indent="1"/>
      <protection locked="0"/>
    </xf>
    <xf numFmtId="0" fontId="39" fillId="0" borderId="103" xfId="1" applyFont="1" applyFill="1" applyBorder="1" applyAlignment="1" applyProtection="1">
      <alignment horizontal="left" vertical="center" wrapText="1" indent="1"/>
      <protection locked="0"/>
    </xf>
    <xf numFmtId="0" fontId="39" fillId="0" borderId="103" xfId="0" applyFont="1" applyBorder="1" applyAlignment="1" applyProtection="1">
      <alignment horizontal="left" vertical="center" wrapText="1" indent="1"/>
      <protection locked="0"/>
    </xf>
    <xf numFmtId="0" fontId="0" fillId="11" borderId="103" xfId="0" applyFill="1" applyBorder="1" applyAlignment="1" applyProtection="1">
      <alignment horizontal="left" vertical="top" wrapText="1" indent="1"/>
      <protection locked="0"/>
    </xf>
    <xf numFmtId="0" fontId="3" fillId="12" borderId="107" xfId="0" applyFont="1" applyFill="1" applyBorder="1" applyAlignment="1" applyProtection="1">
      <alignment horizontal="left" vertical="top" wrapText="1" indent="1"/>
      <protection locked="0"/>
    </xf>
    <xf numFmtId="0" fontId="3" fillId="12" borderId="106" xfId="0" applyFont="1" applyFill="1" applyBorder="1" applyAlignment="1" applyProtection="1">
      <alignment horizontal="left" vertical="top" wrapText="1" indent="1"/>
      <protection locked="0"/>
    </xf>
    <xf numFmtId="0" fontId="3" fillId="0" borderId="103" xfId="0" applyFont="1" applyBorder="1" applyAlignment="1" applyProtection="1">
      <alignment horizontal="left" vertical="top" wrapText="1" indent="1"/>
      <protection locked="0"/>
    </xf>
    <xf numFmtId="0" fontId="0" fillId="0" borderId="103" xfId="0" applyBorder="1" applyAlignment="1" applyProtection="1">
      <alignment horizontal="left" vertical="top" wrapText="1" indent="1"/>
      <protection locked="0"/>
    </xf>
    <xf numFmtId="0" fontId="35" fillId="0" borderId="103" xfId="0" applyFont="1" applyBorder="1" applyAlignment="1" applyProtection="1">
      <alignment horizontal="left" vertical="center" indent="1"/>
      <protection locked="0"/>
    </xf>
    <xf numFmtId="0" fontId="3" fillId="14" borderId="107" xfId="0" applyFont="1" applyFill="1" applyBorder="1" applyAlignment="1" applyProtection="1">
      <alignment horizontal="left" vertical="top" wrapText="1" indent="1"/>
      <protection locked="0"/>
    </xf>
    <xf numFmtId="0" fontId="3" fillId="14" borderId="106" xfId="0" applyFont="1" applyFill="1" applyBorder="1" applyAlignment="1" applyProtection="1">
      <alignment horizontal="left" vertical="top" wrapText="1" indent="1"/>
      <protection locked="0"/>
    </xf>
    <xf numFmtId="0" fontId="39" fillId="7" borderId="102" xfId="0" quotePrefix="1" applyFont="1" applyFill="1" applyBorder="1" applyAlignment="1" applyProtection="1">
      <alignment horizontal="left" vertical="center" wrapText="1"/>
      <protection locked="0"/>
    </xf>
    <xf numFmtId="0" fontId="39" fillId="7" borderId="102" xfId="0" applyFont="1" applyFill="1" applyBorder="1" applyAlignment="1" applyProtection="1">
      <alignment horizontal="left" vertical="center" wrapText="1"/>
      <protection locked="0"/>
    </xf>
    <xf numFmtId="0" fontId="62" fillId="11" borderId="103" xfId="0" applyFont="1" applyFill="1" applyBorder="1" applyAlignment="1" applyProtection="1">
      <alignment horizontal="left" vertical="top" wrapText="1" indent="1"/>
      <protection locked="0"/>
    </xf>
    <xf numFmtId="0" fontId="7" fillId="11" borderId="103" xfId="0" applyFont="1" applyFill="1" applyBorder="1" applyAlignment="1" applyProtection="1">
      <alignment horizontal="left" vertical="center" wrapText="1"/>
      <protection locked="0"/>
    </xf>
    <xf numFmtId="0" fontId="7" fillId="12" borderId="103" xfId="0" applyFont="1" applyFill="1" applyBorder="1" applyAlignment="1" applyProtection="1">
      <alignment horizontal="left" vertical="center" wrapText="1"/>
      <protection locked="0"/>
    </xf>
    <xf numFmtId="0" fontId="7" fillId="13" borderId="103" xfId="0" applyFont="1" applyFill="1" applyBorder="1" applyAlignment="1" applyProtection="1">
      <alignment horizontal="left" vertical="center" wrapText="1"/>
      <protection locked="0"/>
    </xf>
    <xf numFmtId="0" fontId="7" fillId="14" borderId="103" xfId="0" applyFont="1" applyFill="1" applyBorder="1" applyAlignment="1" applyProtection="1">
      <alignment horizontal="left" vertical="center" wrapText="1"/>
      <protection locked="0"/>
    </xf>
    <xf numFmtId="0" fontId="3" fillId="11" borderId="103" xfId="0" applyFont="1" applyFill="1" applyBorder="1" applyAlignment="1" applyProtection="1">
      <alignment horizontal="left" vertical="center" wrapText="1"/>
      <protection locked="0"/>
    </xf>
    <xf numFmtId="0" fontId="3" fillId="12" borderId="104" xfId="0" quotePrefix="1" applyFont="1" applyFill="1" applyBorder="1" applyAlignment="1" applyProtection="1">
      <alignment horizontal="left" vertical="center" wrapText="1"/>
      <protection locked="0"/>
    </xf>
    <xf numFmtId="0" fontId="3" fillId="13" borderId="103" xfId="0" applyFont="1" applyFill="1" applyBorder="1" applyAlignment="1" applyProtection="1">
      <alignment horizontal="left" vertical="center" wrapText="1"/>
      <protection locked="0"/>
    </xf>
    <xf numFmtId="0" fontId="3" fillId="14" borderId="103" xfId="0" quotePrefix="1" applyFont="1" applyFill="1" applyBorder="1" applyAlignment="1" applyProtection="1">
      <alignment horizontal="left" vertical="center" wrapText="1"/>
      <protection locked="0"/>
    </xf>
    <xf numFmtId="0" fontId="3" fillId="13" borderId="103" xfId="0" quotePrefix="1" applyFont="1" applyFill="1" applyBorder="1" applyAlignment="1" applyProtection="1">
      <alignment horizontal="left" vertical="center" wrapText="1"/>
      <protection locked="0"/>
    </xf>
    <xf numFmtId="0" fontId="3" fillId="14" borderId="103" xfId="0" quotePrefix="1" applyFont="1" applyFill="1" applyBorder="1" applyAlignment="1" applyProtection="1">
      <alignment horizontal="left" vertical="top" wrapText="1"/>
      <protection locked="0"/>
    </xf>
    <xf numFmtId="0" fontId="3" fillId="11" borderId="103" xfId="0" quotePrefix="1" applyFont="1" applyFill="1" applyBorder="1" applyAlignment="1" applyProtection="1">
      <alignment horizontal="left" vertical="center" wrapText="1"/>
      <protection locked="0"/>
    </xf>
    <xf numFmtId="0" fontId="7" fillId="19" borderId="103" xfId="0" applyFont="1" applyFill="1" applyBorder="1" applyAlignment="1" applyProtection="1">
      <alignment horizontal="left" vertical="center" wrapText="1"/>
      <protection locked="0"/>
    </xf>
    <xf numFmtId="0" fontId="3" fillId="19" borderId="103" xfId="0" applyFont="1" applyFill="1" applyBorder="1" applyAlignment="1" applyProtection="1">
      <alignment horizontal="left" vertical="center"/>
      <protection locked="0"/>
    </xf>
    <xf numFmtId="0" fontId="3" fillId="19" borderId="103" xfId="0" applyFont="1" applyFill="1" applyBorder="1" applyAlignment="1" applyProtection="1">
      <alignment horizontal="left" vertical="center" wrapText="1"/>
      <protection locked="0"/>
    </xf>
    <xf numFmtId="0" fontId="3" fillId="19" borderId="103" xfId="0" quotePrefix="1" applyFont="1" applyFill="1" applyBorder="1" applyAlignment="1" applyProtection="1">
      <alignment horizontal="left" vertical="center"/>
      <protection locked="0"/>
    </xf>
    <xf numFmtId="0" fontId="3" fillId="13" borderId="104" xfId="0" quotePrefix="1" applyFont="1" applyFill="1" applyBorder="1" applyAlignment="1" applyProtection="1">
      <alignment horizontal="left" vertical="center" wrapText="1"/>
      <protection locked="0"/>
    </xf>
    <xf numFmtId="0" fontId="3" fillId="13" borderId="104" xfId="0" applyFont="1" applyFill="1" applyBorder="1" applyAlignment="1" applyProtection="1">
      <alignment horizontal="left" vertical="center" wrapText="1"/>
      <protection locked="0"/>
    </xf>
    <xf numFmtId="0" fontId="29" fillId="2" borderId="10" xfId="2" applyFont="1" applyFill="1" applyBorder="1" applyAlignment="1">
      <alignment horizontal="left" vertical="top" wrapText="1" indent="1"/>
    </xf>
    <xf numFmtId="0" fontId="29" fillId="2" borderId="11" xfId="2" applyFont="1" applyFill="1" applyBorder="1" applyAlignment="1">
      <alignment horizontal="left" vertical="top" wrapText="1" indent="1"/>
    </xf>
    <xf numFmtId="0" fontId="29" fillId="2" borderId="41" xfId="2" applyFont="1" applyFill="1" applyBorder="1" applyAlignment="1">
      <alignment horizontal="left" vertical="top" wrapText="1" indent="1"/>
    </xf>
    <xf numFmtId="0" fontId="3" fillId="0" borderId="0" xfId="0" applyFont="1" applyAlignment="1">
      <alignment horizontal="center"/>
    </xf>
  </cellXfs>
  <cellStyles count="10">
    <cellStyle name="Hiperlink" xfId="1" builtinId="8"/>
    <cellStyle name="Normal" xfId="0" builtinId="0"/>
    <cellStyle name="Normal 2" xfId="3" xr:uid="{00000000-0005-0000-0000-000002000000}"/>
    <cellStyle name="Normal 3" xfId="9" xr:uid="{2E3499B7-3D77-4568-9E0F-09DE532584C6}"/>
    <cellStyle name="Normal 5 2" xfId="4" xr:uid="{00000000-0005-0000-0000-000003000000}"/>
    <cellStyle name="Normal 5 2 10 3 2 2" xfId="7" xr:uid="{00000000-0005-0000-0000-000004000000}"/>
    <cellStyle name="Normal 6" xfId="2" xr:uid="{00000000-0005-0000-0000-000005000000}"/>
    <cellStyle name="Normal 6 10 3 2 2" xfId="6" xr:uid="{00000000-0005-0000-0000-000006000000}"/>
    <cellStyle name="Porcentagem" xfId="5" builtinId="5"/>
    <cellStyle name="Vírgula" xfId="8" builtinId="3"/>
  </cellStyles>
  <dxfs count="300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14996795556505021"/>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9" tint="0.59996337778862885"/>
        </patternFill>
      </fill>
    </dxf>
    <dxf>
      <fill>
        <patternFill>
          <bgColor rgb="FFFF0000"/>
        </patternFill>
      </fill>
    </dxf>
    <dxf>
      <fill>
        <patternFill>
          <bgColor theme="0" tint="-0.14996795556505021"/>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ill>
        <patternFill>
          <bgColor theme="9" tint="0.59996337778862885"/>
        </patternFill>
      </fill>
    </dxf>
    <dxf>
      <fill>
        <patternFill>
          <bgColor rgb="FFFF0000"/>
        </patternFill>
      </fill>
    </dxf>
    <dxf>
      <fill>
        <patternFill>
          <bgColor rgb="FFFF0000"/>
        </patternFill>
      </fill>
    </dxf>
    <dxf>
      <fill>
        <patternFill>
          <bgColor rgb="FFFF0000"/>
        </patternFill>
      </fill>
    </dxf>
    <dxf>
      <fill>
        <patternFill>
          <bgColor theme="9" tint="0.59996337778862885"/>
        </patternFill>
      </fill>
    </dxf>
    <dxf>
      <fill>
        <patternFill>
          <bgColor rgb="FFFFFF00"/>
        </patternFill>
      </fill>
    </dxf>
    <dxf>
      <fill>
        <patternFill>
          <bgColor rgb="FF00B050"/>
        </patternFill>
      </fill>
    </dxf>
    <dxf>
      <fill>
        <patternFill>
          <bgColor theme="0" tint="-0.14996795556505021"/>
        </patternFill>
      </fill>
    </dxf>
    <dxf>
      <fill>
        <patternFill>
          <bgColor theme="0" tint="-0.24994659260841701"/>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14996795556505021"/>
        </patternFill>
      </fill>
    </dxf>
    <dxf>
      <fill>
        <patternFill>
          <bgColor theme="9" tint="0.59996337778862885"/>
        </patternFill>
      </fill>
    </dxf>
    <dxf>
      <fill>
        <patternFill>
          <bgColor rgb="FF00B050"/>
        </patternFill>
      </fill>
    </dxf>
    <dxf>
      <fill>
        <patternFill>
          <bgColor theme="9" tint="0.59996337778862885"/>
        </patternFill>
      </fill>
    </dxf>
    <dxf>
      <fill>
        <patternFill>
          <bgColor rgb="FFFF0000"/>
        </patternFill>
      </fill>
    </dxf>
    <dxf>
      <fill>
        <patternFill>
          <bgColor theme="0" tint="-0.14996795556505021"/>
        </patternFill>
      </fill>
    </dxf>
    <dxf>
      <fill>
        <patternFill>
          <bgColor theme="0" tint="-0.24994659260841701"/>
        </patternFill>
      </fill>
    </dxf>
    <dxf>
      <fill>
        <patternFill>
          <bgColor rgb="FFFFFF00"/>
        </patternFill>
      </fill>
    </dxf>
    <dxf>
      <fill>
        <patternFill>
          <bgColor theme="9" tint="0.59996337778862885"/>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14996795556505021"/>
        </patternFill>
      </fill>
    </dxf>
    <dxf>
      <fill>
        <patternFill>
          <bgColor theme="9" tint="0.59996337778862885"/>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0" tint="-0.14996795556505021"/>
        </patternFill>
      </fill>
    </dxf>
    <dxf>
      <fill>
        <patternFill>
          <bgColor rgb="FF00B050"/>
        </patternFill>
      </fill>
    </dxf>
    <dxf>
      <fill>
        <patternFill>
          <bgColor rgb="FFFFFF00"/>
        </patternFill>
      </fill>
    </dxf>
    <dxf>
      <fill>
        <patternFill>
          <bgColor rgb="FFFF0000"/>
        </patternFill>
      </fill>
    </dxf>
    <dxf>
      <fill>
        <patternFill>
          <bgColor theme="9" tint="0.59996337778862885"/>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rgb="FFFFFF00"/>
        </patternFill>
      </fill>
    </dxf>
    <dxf>
      <fill>
        <patternFill>
          <bgColor rgb="FFFF0000"/>
        </patternFill>
      </fill>
    </dxf>
    <dxf>
      <fill>
        <patternFill>
          <bgColor theme="9" tint="0.59996337778862885"/>
        </patternFill>
      </fill>
    </dxf>
    <dxf>
      <fill>
        <patternFill>
          <bgColor theme="0" tint="-0.24994659260841701"/>
        </patternFill>
      </fill>
    </dxf>
    <dxf>
      <fill>
        <patternFill>
          <bgColor rgb="FF00B050"/>
        </patternFill>
      </fill>
    </dxf>
    <dxf>
      <fill>
        <patternFill>
          <bgColor rgb="FFFF0000"/>
        </patternFill>
      </fill>
    </dxf>
    <dxf>
      <fill>
        <patternFill>
          <bgColor theme="0" tint="-0.14996795556505021"/>
        </patternFill>
      </fill>
    </dxf>
    <dxf>
      <fill>
        <patternFill>
          <bgColor theme="9" tint="0.59996337778862885"/>
        </patternFill>
      </fill>
    </dxf>
    <dxf>
      <fill>
        <patternFill>
          <bgColor rgb="FFFFFF00"/>
        </patternFill>
      </fill>
    </dxf>
    <dxf>
      <fill>
        <patternFill>
          <bgColor rgb="FF00B050"/>
        </patternFill>
      </fill>
    </dxf>
    <dxf>
      <fill>
        <patternFill>
          <bgColor theme="0" tint="-0.24994659260841701"/>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14996795556505021"/>
        </patternFill>
      </fill>
    </dxf>
    <dxf>
      <fill>
        <patternFill>
          <bgColor theme="9" tint="0.59996337778862885"/>
        </patternFill>
      </fill>
    </dxf>
    <dxf>
      <fill>
        <patternFill>
          <bgColor rgb="FFFF0000"/>
        </patternFill>
      </fill>
    </dxf>
    <dxf>
      <fill>
        <patternFill>
          <bgColor rgb="FFFFFF00"/>
        </patternFill>
      </fill>
    </dxf>
    <dxf>
      <fill>
        <patternFill>
          <bgColor rgb="FF00B050"/>
        </patternFill>
      </fill>
    </dxf>
    <dxf>
      <fill>
        <patternFill>
          <bgColor theme="0" tint="-0.24994659260841701"/>
        </patternFill>
      </fill>
    </dxf>
    <dxf>
      <fill>
        <patternFill>
          <bgColor theme="9" tint="0.59996337778862885"/>
        </patternFill>
      </fill>
    </dxf>
    <dxf>
      <fill>
        <patternFill>
          <bgColor rgb="FFFF0000"/>
        </patternFill>
      </fill>
    </dxf>
    <dxf>
      <fill>
        <patternFill>
          <bgColor theme="0" tint="-0.14996795556505021"/>
        </patternFill>
      </fill>
    </dxf>
    <dxf>
      <fill>
        <patternFill>
          <bgColor theme="0" tint="-0.24994659260841701"/>
        </patternFill>
      </fill>
    </dxf>
    <dxf>
      <fill>
        <patternFill>
          <bgColor rgb="FF00B050"/>
        </patternFill>
      </fill>
    </dxf>
    <dxf>
      <fill>
        <patternFill>
          <bgColor rgb="FFFFFF00"/>
        </patternFill>
      </fill>
    </dxf>
    <dxf>
      <fill>
        <patternFill>
          <bgColor rgb="FFFF0000"/>
        </patternFill>
      </fill>
    </dxf>
    <dxf>
      <font>
        <color rgb="FFFFC000"/>
      </font>
      <fill>
        <patternFill>
          <bgColor rgb="FFFFC00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0" tint="-0.34998626667073579"/>
      </font>
      <fill>
        <patternFill>
          <bgColor theme="0" tint="-0.34998626667073579"/>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FF0000"/>
      </font>
      <fill>
        <patternFill>
          <bgColor rgb="FFFF0000"/>
        </patternFill>
      </fill>
    </dxf>
    <dxf>
      <font>
        <color rgb="FF0070C0"/>
      </font>
      <fill>
        <patternFill>
          <bgColor rgb="FF0070C0"/>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theme="0" tint="-0.34998626667073579"/>
      </font>
      <fill>
        <patternFill>
          <bgColor theme="0" tint="-0.34998626667073579"/>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FF0000"/>
      </font>
      <fill>
        <patternFill>
          <bgColor rgb="FFFF0000"/>
        </patternFill>
      </fill>
    </dxf>
    <dxf>
      <font>
        <color rgb="FFFFC000"/>
      </font>
      <fill>
        <patternFill>
          <bgColor rgb="FFFFC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theme="0" tint="-0.34998626667073579"/>
      </font>
      <fill>
        <patternFill>
          <bgColor theme="0" tint="-0.34998626667073579"/>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92D050"/>
      </font>
      <fill>
        <patternFill>
          <bgColor rgb="FF92D050"/>
        </patternFill>
      </fill>
    </dxf>
    <dxf>
      <font>
        <color theme="1" tint="0.14996795556505021"/>
      </font>
      <fill>
        <patternFill>
          <bgColor theme="1" tint="0.14996795556505021"/>
        </patternFill>
      </fill>
    </dxf>
    <dxf>
      <font>
        <color rgb="FFFF0000"/>
      </font>
      <fill>
        <patternFill>
          <bgColor rgb="FFFF000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F9FA1"/>
        </patternFill>
      </fill>
    </dxf>
    <dxf>
      <fill>
        <patternFill>
          <bgColor rgb="FFFCE480"/>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AFD7FF"/>
        </patternFill>
      </fill>
    </dxf>
    <dxf>
      <fill>
        <patternFill>
          <bgColor rgb="FF93FFB7"/>
        </patternFill>
      </fill>
    </dxf>
    <dxf>
      <fill>
        <patternFill>
          <bgColor rgb="FFFCE480"/>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9CC0B"/>
        </patternFill>
      </fill>
    </dxf>
    <dxf>
      <fill>
        <patternFill>
          <bgColor rgb="FFFFFF0D"/>
        </patternFill>
      </fill>
    </dxf>
    <dxf>
      <fill>
        <patternFill>
          <bgColor rgb="FF2FFF74"/>
        </patternFill>
      </fill>
    </dxf>
    <dxf>
      <fill>
        <patternFill>
          <bgColor rgb="FF75BAFF"/>
        </patternFill>
      </fill>
    </dxf>
    <dxf>
      <fill>
        <patternFill>
          <bgColor rgb="FFFF6165"/>
        </patternFill>
      </fill>
    </dxf>
    <dxf>
      <font>
        <color rgb="FFFFC000"/>
      </font>
      <fill>
        <patternFill>
          <bgColor rgb="FFFFC00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0" tint="-0.34998626667073579"/>
      </font>
      <fill>
        <patternFill>
          <bgColor theme="0" tint="-0.34998626667073579"/>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FF0000"/>
      </font>
      <fill>
        <patternFill>
          <bgColor rgb="FFFF0000"/>
        </patternFill>
      </fill>
    </dxf>
    <dxf>
      <font>
        <color rgb="FF0070C0"/>
      </font>
      <fill>
        <patternFill>
          <bgColor rgb="FF0070C0"/>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theme="0" tint="-0.34998626667073579"/>
      </font>
      <fill>
        <patternFill>
          <bgColor theme="0" tint="-0.34998626667073579"/>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FF0000"/>
      </font>
      <fill>
        <patternFill>
          <bgColor rgb="FFFF0000"/>
        </patternFill>
      </fill>
    </dxf>
    <dxf>
      <font>
        <color rgb="FFFFC000"/>
      </font>
      <fill>
        <patternFill>
          <bgColor rgb="FFFFC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theme="0" tint="-0.34998626667073579"/>
      </font>
      <fill>
        <patternFill>
          <bgColor theme="0" tint="-0.34998626667073579"/>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92D050"/>
      </font>
      <fill>
        <patternFill>
          <bgColor rgb="FF92D050"/>
        </patternFill>
      </fill>
    </dxf>
    <dxf>
      <font>
        <color theme="1" tint="0.14996795556505021"/>
      </font>
      <fill>
        <patternFill>
          <bgColor theme="1" tint="0.14996795556505021"/>
        </patternFill>
      </fill>
    </dxf>
    <dxf>
      <font>
        <color rgb="FFFF0000"/>
      </font>
      <fill>
        <patternFill>
          <bgColor rgb="FFFF000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F9FA1"/>
        </patternFill>
      </fill>
    </dxf>
    <dxf>
      <fill>
        <patternFill>
          <bgColor rgb="FFFCE480"/>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AFD7FF"/>
        </patternFill>
      </fill>
    </dxf>
    <dxf>
      <fill>
        <patternFill>
          <bgColor rgb="FF93FFB7"/>
        </patternFill>
      </fill>
    </dxf>
    <dxf>
      <fill>
        <patternFill>
          <bgColor rgb="FFFCE480"/>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9CC0B"/>
        </patternFill>
      </fill>
    </dxf>
    <dxf>
      <fill>
        <patternFill>
          <bgColor rgb="FFFFFF0D"/>
        </patternFill>
      </fill>
    </dxf>
    <dxf>
      <fill>
        <patternFill>
          <bgColor rgb="FF2FFF74"/>
        </patternFill>
      </fill>
    </dxf>
    <dxf>
      <fill>
        <patternFill>
          <bgColor rgb="FF75BAFF"/>
        </patternFill>
      </fill>
    </dxf>
    <dxf>
      <fill>
        <patternFill>
          <bgColor rgb="FFFF6165"/>
        </patternFill>
      </fill>
    </dxf>
    <dxf>
      <font>
        <color rgb="FFFFC000"/>
      </font>
      <fill>
        <patternFill>
          <bgColor rgb="FFFFC00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0" tint="-0.34998626667073579"/>
      </font>
      <fill>
        <patternFill>
          <bgColor theme="0" tint="-0.34998626667073579"/>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FF0000"/>
      </font>
      <fill>
        <patternFill>
          <bgColor rgb="FFFF0000"/>
        </patternFill>
      </fill>
    </dxf>
    <dxf>
      <font>
        <color rgb="FF0070C0"/>
      </font>
      <fill>
        <patternFill>
          <bgColor rgb="FF0070C0"/>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theme="0" tint="-0.34998626667073579"/>
      </font>
      <fill>
        <patternFill>
          <bgColor theme="0" tint="-0.34998626667073579"/>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FF0000"/>
      </font>
      <fill>
        <patternFill>
          <bgColor rgb="FFFF0000"/>
        </patternFill>
      </fill>
    </dxf>
    <dxf>
      <font>
        <color rgb="FFFFC000"/>
      </font>
      <fill>
        <patternFill>
          <bgColor rgb="FFFFC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theme="0" tint="-0.34998626667073579"/>
      </font>
      <fill>
        <patternFill>
          <bgColor theme="0" tint="-0.34998626667073579"/>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92D050"/>
      </font>
      <fill>
        <patternFill>
          <bgColor rgb="FF92D050"/>
        </patternFill>
      </fill>
    </dxf>
    <dxf>
      <font>
        <color theme="1" tint="0.14996795556505021"/>
      </font>
      <fill>
        <patternFill>
          <bgColor theme="1" tint="0.14996795556505021"/>
        </patternFill>
      </fill>
    </dxf>
    <dxf>
      <font>
        <color rgb="FFFF0000"/>
      </font>
      <fill>
        <patternFill>
          <bgColor rgb="FFFF000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FF9FA1"/>
        </patternFill>
      </fill>
    </dxf>
    <dxf>
      <fill>
        <patternFill>
          <bgColor rgb="FFFCE480"/>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FF9B"/>
        </patternFill>
      </fill>
    </dxf>
    <dxf>
      <fill>
        <patternFill>
          <bgColor rgb="FFAFD7FF"/>
        </patternFill>
      </fill>
    </dxf>
    <dxf>
      <fill>
        <patternFill>
          <bgColor rgb="FF93FFB7"/>
        </patternFill>
      </fill>
    </dxf>
    <dxf>
      <fill>
        <patternFill>
          <bgColor rgb="FFFCE480"/>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9CC0B"/>
        </patternFill>
      </fill>
    </dxf>
    <dxf>
      <fill>
        <patternFill>
          <bgColor rgb="FFFFFF0D"/>
        </patternFill>
      </fill>
    </dxf>
    <dxf>
      <fill>
        <patternFill>
          <bgColor rgb="FF2FFF74"/>
        </patternFill>
      </fill>
    </dxf>
    <dxf>
      <fill>
        <patternFill>
          <bgColor rgb="FF75BAFF"/>
        </patternFill>
      </fill>
    </dxf>
    <dxf>
      <fill>
        <patternFill>
          <bgColor rgb="FFFF6165"/>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679E2A"/>
      </font>
      <fill>
        <patternFill>
          <bgColor rgb="FF70AC2E"/>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FFC000"/>
      </font>
      <fill>
        <patternFill>
          <bgColor rgb="FFFFC000"/>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theme="0" tint="-0.34998626667073579"/>
      </font>
      <fill>
        <patternFill>
          <bgColor theme="0" tint="-0.34998626667073579"/>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0" tint="-0.34998626667073579"/>
      </font>
      <fill>
        <patternFill>
          <bgColor theme="0" tint="-0.34998626667073579"/>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rgb="FFFFC000"/>
      </font>
      <fill>
        <patternFill>
          <bgColor rgb="FFFFC000"/>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0" tint="-0.34998626667073579"/>
      </font>
      <fill>
        <patternFill>
          <bgColor theme="0" tint="-0.34998626667073579"/>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AFD7FF"/>
        </patternFill>
      </fill>
    </dxf>
    <dxf>
      <fill>
        <patternFill>
          <bgColor rgb="FFFF9FA1"/>
        </patternFill>
      </fill>
    </dxf>
    <dxf>
      <fill>
        <patternFill>
          <bgColor rgb="FF93FFB7"/>
        </patternFill>
      </fill>
    </dxf>
    <dxf>
      <fill>
        <patternFill>
          <bgColor rgb="FFFCE480"/>
        </patternFill>
      </fill>
    </dxf>
    <dxf>
      <fill>
        <patternFill>
          <bgColor rgb="FFFFFF9B"/>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FCE48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AFD7FF"/>
        </patternFill>
      </fill>
    </dxf>
    <dxf>
      <fill>
        <patternFill>
          <bgColor rgb="FFFFFF9B"/>
        </patternFill>
      </fill>
    </dxf>
    <dxf>
      <fill>
        <patternFill>
          <bgColor rgb="FFFCE480"/>
        </patternFill>
      </fill>
    </dxf>
    <dxf>
      <fill>
        <patternFill>
          <bgColor rgb="FFFF9FA1"/>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CE480"/>
        </patternFill>
      </fill>
    </dxf>
    <dxf>
      <fill>
        <patternFill>
          <bgColor rgb="FFFF9FA1"/>
        </patternFill>
      </fill>
    </dxf>
    <dxf>
      <fill>
        <patternFill>
          <bgColor rgb="FFFFFF9B"/>
        </patternFill>
      </fill>
    </dxf>
    <dxf>
      <fill>
        <patternFill>
          <bgColor rgb="FFAFD7FF"/>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FCE48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2FFF74"/>
        </patternFill>
      </fill>
    </dxf>
    <dxf>
      <fill>
        <patternFill>
          <bgColor rgb="FFFF6165"/>
        </patternFill>
      </fill>
    </dxf>
    <dxf>
      <fill>
        <patternFill>
          <bgColor rgb="FFF9CC0B"/>
        </patternFill>
      </fill>
    </dxf>
    <dxf>
      <fill>
        <patternFill>
          <bgColor rgb="FFFFFF0D"/>
        </patternFill>
      </fill>
    </dxf>
    <dxf>
      <fill>
        <patternFill>
          <bgColor rgb="FF75BAFF"/>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FFC000"/>
      </font>
      <fill>
        <patternFill>
          <bgColor rgb="FFFFC000"/>
        </patternFill>
      </fill>
    </dxf>
    <dxf>
      <font>
        <color rgb="FF679E2A"/>
      </font>
      <fill>
        <patternFill>
          <bgColor rgb="FF70AC2E"/>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theme="1" tint="0.14996795556505021"/>
      </font>
      <fill>
        <patternFill>
          <bgColor theme="1"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theme="0" tint="-0.14996795556505021"/>
      </font>
      <fill>
        <patternFill>
          <bgColor theme="0" tint="-0.14996795556505021"/>
        </patternFill>
      </fill>
    </dxf>
    <dxf>
      <font>
        <color rgb="FF00B050"/>
      </font>
      <fill>
        <patternFill>
          <bgColor rgb="FF00B05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FF00"/>
      </font>
      <fill>
        <patternFill>
          <bgColor rgb="FFFFFF00"/>
        </patternFill>
      </fill>
    </dxf>
    <dxf>
      <font>
        <color rgb="FFFFFF00"/>
      </font>
      <fill>
        <patternFill>
          <bgColor rgb="FFFFFF00"/>
        </patternFill>
      </fill>
    </dxf>
    <dxf>
      <font>
        <color theme="0" tint="-0.34998626667073579"/>
      </font>
      <fill>
        <patternFill>
          <bgColor theme="0" tint="-0.34998626667073579"/>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00B050"/>
      </font>
      <fill>
        <patternFill>
          <bgColor rgb="FF00B050"/>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rgb="FFFFFF00"/>
      </font>
      <fill>
        <patternFill>
          <bgColor rgb="FFFFFF00"/>
        </patternFill>
      </fill>
    </dxf>
    <dxf>
      <font>
        <color theme="0" tint="-0.14996795556505021"/>
      </font>
      <fill>
        <patternFill>
          <bgColor theme="0" tint="-0.14996795556505021"/>
        </patternFill>
      </fill>
    </dxf>
    <dxf>
      <font>
        <color rgb="FFFF0000"/>
      </font>
      <fill>
        <patternFill>
          <bgColor rgb="FFFF000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FFC000"/>
      </font>
      <fill>
        <patternFill>
          <bgColor rgb="FFFFC000"/>
        </patternFill>
      </fill>
    </dxf>
    <dxf>
      <font>
        <color rgb="FF0070C0"/>
      </font>
      <fill>
        <patternFill>
          <bgColor rgb="FF0070C0"/>
        </patternFill>
      </fill>
    </dxf>
    <dxf>
      <font>
        <color rgb="FFFF0000"/>
      </font>
      <fill>
        <patternFill>
          <bgColor rgb="FFFF000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theme="1" tint="0.14996795556505021"/>
      </font>
      <fill>
        <patternFill>
          <bgColor theme="1" tint="0.14996795556505021"/>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FFC000"/>
      </font>
      <fill>
        <patternFill>
          <bgColor rgb="FFFFC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ill>
        <patternFill>
          <bgColor rgb="FF93FFB7"/>
        </patternFill>
      </fill>
    </dxf>
    <dxf>
      <fill>
        <patternFill>
          <bgColor rgb="FFFFFF9B"/>
        </patternFill>
      </fill>
    </dxf>
    <dxf>
      <fill>
        <patternFill>
          <bgColor rgb="FFAFD7FF"/>
        </patternFill>
      </fill>
    </dxf>
    <dxf>
      <fill>
        <patternFill>
          <bgColor rgb="FFFF9FA1"/>
        </patternFill>
      </fill>
    </dxf>
    <dxf>
      <fill>
        <patternFill>
          <bgColor rgb="FFFCE480"/>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FFF9B"/>
        </patternFill>
      </fill>
    </dxf>
    <dxf>
      <fill>
        <patternFill>
          <bgColor rgb="FF93FFB7"/>
        </patternFill>
      </fill>
    </dxf>
    <dxf>
      <fill>
        <patternFill>
          <bgColor rgb="FFFCE480"/>
        </patternFill>
      </fill>
    </dxf>
    <dxf>
      <fill>
        <patternFill>
          <bgColor rgb="FFFF9FA1"/>
        </patternFill>
      </fill>
    </dxf>
    <dxf>
      <fill>
        <patternFill>
          <bgColor rgb="FFAFD7FF"/>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9FA1"/>
        </patternFill>
      </fill>
    </dxf>
    <dxf>
      <fill>
        <patternFill>
          <bgColor rgb="FFFFFF9B"/>
        </patternFill>
      </fill>
    </dxf>
    <dxf>
      <fill>
        <patternFill>
          <bgColor rgb="FFAFD7FF"/>
        </patternFill>
      </fill>
    </dxf>
    <dxf>
      <fill>
        <patternFill>
          <bgColor rgb="FF93FFB7"/>
        </patternFill>
      </fill>
    </dxf>
    <dxf>
      <fill>
        <patternFill>
          <bgColor rgb="FFFCE480"/>
        </patternFill>
      </fill>
    </dxf>
    <dxf>
      <fill>
        <patternFill>
          <bgColor rgb="FFFCE480"/>
        </patternFill>
      </fill>
    </dxf>
    <dxf>
      <fill>
        <patternFill>
          <bgColor rgb="FFAFD7FF"/>
        </patternFill>
      </fill>
    </dxf>
    <dxf>
      <fill>
        <patternFill>
          <bgColor rgb="FFFF9FA1"/>
        </patternFill>
      </fill>
    </dxf>
    <dxf>
      <fill>
        <patternFill>
          <bgColor rgb="FFFFFF9B"/>
        </patternFill>
      </fill>
    </dxf>
    <dxf>
      <fill>
        <patternFill>
          <bgColor rgb="FF93FFB7"/>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FF9B"/>
        </patternFill>
      </fill>
    </dxf>
    <dxf>
      <fill>
        <patternFill>
          <bgColor rgb="FFFCE480"/>
        </patternFill>
      </fill>
    </dxf>
    <dxf>
      <fill>
        <patternFill>
          <bgColor rgb="FFFF9FA1"/>
        </patternFill>
      </fill>
    </dxf>
    <dxf>
      <fill>
        <patternFill>
          <bgColor rgb="FF93FFB7"/>
        </patternFill>
      </fill>
    </dxf>
    <dxf>
      <fill>
        <patternFill>
          <bgColor rgb="FFAFD7FF"/>
        </patternFill>
      </fill>
    </dxf>
    <dxf>
      <fill>
        <patternFill>
          <bgColor rgb="FFFFFF9B"/>
        </patternFill>
      </fill>
    </dxf>
    <dxf>
      <fill>
        <patternFill>
          <bgColor rgb="FFAFD7FF"/>
        </patternFill>
      </fill>
    </dxf>
    <dxf>
      <fill>
        <patternFill>
          <bgColor rgb="FF93FFB7"/>
        </patternFill>
      </fill>
    </dxf>
    <dxf>
      <fill>
        <patternFill>
          <bgColor rgb="FFFCE480"/>
        </patternFill>
      </fill>
    </dxf>
    <dxf>
      <fill>
        <patternFill>
          <bgColor rgb="FFFF9FA1"/>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AFD7FF"/>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9FA1"/>
        </patternFill>
      </fill>
    </dxf>
    <dxf>
      <fill>
        <patternFill>
          <bgColor rgb="FFAFD7FF"/>
        </patternFill>
      </fill>
    </dxf>
    <dxf>
      <fill>
        <patternFill>
          <bgColor rgb="FFFCE480"/>
        </patternFill>
      </fill>
    </dxf>
    <dxf>
      <fill>
        <patternFill>
          <bgColor rgb="FF93FFB7"/>
        </patternFill>
      </fill>
    </dxf>
    <dxf>
      <fill>
        <patternFill>
          <bgColor rgb="FFFFFF9B"/>
        </patternFill>
      </fill>
    </dxf>
    <dxf>
      <fill>
        <patternFill>
          <bgColor rgb="FF2FFF74"/>
        </patternFill>
      </fill>
    </dxf>
    <dxf>
      <fill>
        <patternFill>
          <bgColor rgb="FFFF6165"/>
        </patternFill>
      </fill>
    </dxf>
    <dxf>
      <fill>
        <patternFill>
          <bgColor rgb="FFF9CC0B"/>
        </patternFill>
      </fill>
    </dxf>
    <dxf>
      <fill>
        <patternFill>
          <bgColor rgb="FFFFFF0D"/>
        </patternFill>
      </fill>
    </dxf>
    <dxf>
      <fill>
        <patternFill>
          <bgColor rgb="FF75BAFF"/>
        </patternFill>
      </fill>
    </dxf>
    <dxf>
      <font>
        <color rgb="FF0070C0"/>
      </font>
      <fill>
        <patternFill>
          <bgColor rgb="FF0070C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679E2A"/>
      </font>
      <fill>
        <patternFill>
          <bgColor rgb="FF70AC2E"/>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theme="0" tint="-0.34998626667073579"/>
      </font>
      <fill>
        <patternFill>
          <bgColor theme="0" tint="-0.34998626667073579"/>
        </patternFill>
      </fill>
    </dxf>
    <dxf>
      <font>
        <color rgb="FFFFFF00"/>
      </font>
      <fill>
        <patternFill>
          <bgColor rgb="FFFFFF00"/>
        </patternFill>
      </fill>
    </dxf>
    <dxf>
      <font>
        <color rgb="FF00B050"/>
      </font>
      <fill>
        <patternFill>
          <bgColor rgb="FF00B05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FF00"/>
      </font>
      <fill>
        <patternFill>
          <bgColor rgb="FFFFFF00"/>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FF0000"/>
      </font>
      <fill>
        <patternFill>
          <bgColor rgb="FFFF0000"/>
        </patternFill>
      </fill>
    </dxf>
    <dxf>
      <font>
        <color rgb="FFFF0000"/>
      </font>
      <fill>
        <patternFill>
          <bgColor rgb="FFFF0000"/>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0070C0"/>
      </font>
      <fill>
        <patternFill>
          <bgColor rgb="FF0070C0"/>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FFC000"/>
      </font>
      <fill>
        <patternFill>
          <bgColor rgb="FFFFC00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679E2A"/>
      </font>
      <fill>
        <patternFill>
          <bgColor rgb="FF70AC2E"/>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ill>
        <patternFill>
          <bgColor rgb="FFFCE480"/>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CE480"/>
        </patternFill>
      </fill>
    </dxf>
    <dxf>
      <fill>
        <patternFill>
          <bgColor rgb="FFAFD7FF"/>
        </patternFill>
      </fill>
    </dxf>
    <dxf>
      <fill>
        <patternFill>
          <bgColor rgb="FFFFFF9B"/>
        </patternFill>
      </fill>
    </dxf>
    <dxf>
      <fill>
        <patternFill>
          <bgColor rgb="FFFF9FA1"/>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CE480"/>
        </patternFill>
      </fill>
    </dxf>
    <dxf>
      <fill>
        <patternFill>
          <bgColor rgb="FFFF9FA1"/>
        </patternFill>
      </fill>
    </dxf>
    <dxf>
      <fill>
        <patternFill>
          <bgColor rgb="FFAFD7FF"/>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AFD7FF"/>
        </patternFill>
      </fill>
    </dxf>
    <dxf>
      <fill>
        <patternFill>
          <bgColor rgb="FF93FFB7"/>
        </patternFill>
      </fill>
    </dxf>
    <dxf>
      <fill>
        <patternFill>
          <bgColor rgb="FFFFFF9B"/>
        </patternFill>
      </fill>
    </dxf>
    <dxf>
      <fill>
        <patternFill>
          <bgColor rgb="FFFF9FA1"/>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FFFF9B"/>
        </patternFill>
      </fill>
    </dxf>
    <dxf>
      <fill>
        <patternFill>
          <bgColor rgb="FFFCE480"/>
        </patternFill>
      </fill>
    </dxf>
    <dxf>
      <fill>
        <patternFill>
          <bgColor rgb="FFFF9FA1"/>
        </patternFill>
      </fill>
    </dxf>
    <dxf>
      <fill>
        <patternFill>
          <bgColor rgb="FF93FFB7"/>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CE480"/>
        </patternFill>
      </fill>
    </dxf>
    <dxf>
      <fill>
        <patternFill>
          <bgColor rgb="FFFF9FA1"/>
        </patternFill>
      </fill>
    </dxf>
    <dxf>
      <fill>
        <patternFill>
          <bgColor rgb="FFAFD7FF"/>
        </patternFill>
      </fill>
    </dxf>
    <dxf>
      <fill>
        <patternFill>
          <bgColor rgb="FFFFFF9B"/>
        </patternFill>
      </fill>
    </dxf>
    <dxf>
      <fill>
        <patternFill>
          <bgColor rgb="FFFF9FA1"/>
        </patternFill>
      </fill>
    </dxf>
    <dxf>
      <fill>
        <patternFill>
          <bgColor rgb="FF93FFB7"/>
        </patternFill>
      </fill>
    </dxf>
    <dxf>
      <fill>
        <patternFill>
          <bgColor rgb="FFFFFF9B"/>
        </patternFill>
      </fill>
    </dxf>
    <dxf>
      <fill>
        <patternFill>
          <bgColor rgb="FFFCE480"/>
        </patternFill>
      </fill>
    </dxf>
    <dxf>
      <fill>
        <patternFill>
          <bgColor rgb="FFAFD7FF"/>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6165"/>
        </patternFill>
      </fill>
    </dxf>
    <dxf>
      <fill>
        <patternFill>
          <bgColor rgb="FFF9CC0B"/>
        </patternFill>
      </fill>
    </dxf>
    <dxf>
      <fill>
        <patternFill>
          <bgColor rgb="FFFFFF0D"/>
        </patternFill>
      </fill>
    </dxf>
    <dxf>
      <fill>
        <patternFill>
          <bgColor rgb="FF2FFF74"/>
        </patternFill>
      </fill>
    </dxf>
    <dxf>
      <fill>
        <patternFill>
          <bgColor rgb="FF75BAFF"/>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92D050"/>
      </font>
      <fill>
        <patternFill>
          <bgColor rgb="FF92D05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rgb="FFFFFF00"/>
      </font>
      <fill>
        <patternFill>
          <bgColor rgb="FFFFFF00"/>
        </patternFill>
      </fill>
    </dxf>
    <dxf>
      <font>
        <color theme="9" tint="0.59996337778862885"/>
      </font>
      <fill>
        <patternFill>
          <bgColor theme="9" tint="0.59996337778862885"/>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0000"/>
      </font>
      <fill>
        <patternFill>
          <bgColor rgb="FFFF0000"/>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679E2A"/>
      </font>
      <fill>
        <patternFill>
          <bgColor rgb="FF70AC2E"/>
        </patternFill>
      </fill>
    </dxf>
    <dxf>
      <font>
        <color theme="0" tint="-0.34998626667073579"/>
      </font>
      <fill>
        <patternFill>
          <bgColor theme="0" tint="-0.34998626667073579"/>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93FFB7"/>
        </patternFill>
      </fill>
    </dxf>
    <dxf>
      <fill>
        <patternFill>
          <bgColor rgb="FFFF9FA1"/>
        </patternFill>
      </fill>
    </dxf>
    <dxf>
      <fill>
        <patternFill>
          <bgColor rgb="FFFCE480"/>
        </patternFill>
      </fill>
    </dxf>
    <dxf>
      <fill>
        <patternFill>
          <bgColor rgb="FFFFFF9B"/>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FF0D"/>
        </patternFill>
      </fill>
    </dxf>
    <dxf>
      <fill>
        <patternFill>
          <bgColor rgb="FF2FFF74"/>
        </patternFill>
      </fill>
    </dxf>
    <dxf>
      <fill>
        <patternFill>
          <bgColor rgb="FF75BAFF"/>
        </patternFill>
      </fill>
    </dxf>
    <dxf>
      <fill>
        <patternFill>
          <bgColor rgb="FFFF6165"/>
        </patternFill>
      </fill>
    </dxf>
    <dxf>
      <fill>
        <patternFill>
          <bgColor rgb="FFF9CC0B"/>
        </patternFill>
      </fill>
    </dxf>
    <dxf>
      <font>
        <color rgb="FFFF0000"/>
      </font>
      <fill>
        <patternFill>
          <bgColor rgb="FFFF0000"/>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92D050"/>
      </font>
      <fill>
        <patternFill>
          <bgColor rgb="FF92D050"/>
        </patternFill>
      </fill>
    </dxf>
    <dxf>
      <font>
        <color rgb="FF679E2A"/>
      </font>
      <fill>
        <patternFill>
          <bgColor rgb="FF70AC2E"/>
        </patternFill>
      </fill>
    </dxf>
    <dxf>
      <font>
        <color rgb="FFFFC000"/>
      </font>
      <fill>
        <patternFill>
          <bgColor rgb="FFFFC000"/>
        </patternFill>
      </fill>
    </dxf>
    <dxf>
      <font>
        <color rgb="FF0070C0"/>
      </font>
      <fill>
        <patternFill>
          <bgColor rgb="FF0070C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0070C0"/>
      </font>
      <fill>
        <patternFill>
          <bgColor rgb="FF0070C0"/>
        </patternFill>
      </fill>
    </dxf>
    <dxf>
      <font>
        <color theme="1" tint="0.14996795556505021"/>
      </font>
      <fill>
        <patternFill>
          <bgColor theme="1" tint="0.14996795556505021"/>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00B050"/>
      </font>
      <fill>
        <patternFill>
          <bgColor rgb="FF00B050"/>
        </patternFill>
      </fill>
    </dxf>
    <dxf>
      <font>
        <color theme="0" tint="-0.34998626667073579"/>
      </font>
      <fill>
        <patternFill>
          <bgColor theme="0" tint="-0.34998626667073579"/>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theme="0" tint="-0.14996795556505021"/>
      </font>
      <fill>
        <patternFill>
          <bgColor theme="0" tint="-0.14996795556505021"/>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rgb="FFFF0000"/>
      </font>
      <fill>
        <patternFill>
          <bgColor rgb="FFFF0000"/>
        </patternFill>
      </fill>
    </dxf>
    <dxf>
      <font>
        <color rgb="FF00B050"/>
      </font>
      <fill>
        <patternFill>
          <bgColor rgb="FF00B050"/>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FF00"/>
      </font>
      <fill>
        <patternFill>
          <bgColor rgb="FFFFFF00"/>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679E2A"/>
      </font>
      <fill>
        <patternFill>
          <bgColor rgb="FF70AC2E"/>
        </patternFill>
      </fill>
    </dxf>
    <dxf>
      <font>
        <color theme="0" tint="-0.34998626667073579"/>
      </font>
      <fill>
        <patternFill>
          <bgColor theme="0" tint="-0.34998626667073579"/>
        </patternFill>
      </fill>
    </dxf>
    <dxf>
      <font>
        <color rgb="FF0070C0"/>
      </font>
      <fill>
        <patternFill>
          <bgColor rgb="FF0070C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679E2A"/>
      </font>
      <fill>
        <patternFill>
          <bgColor rgb="FF70AC2E"/>
        </patternFill>
      </fill>
    </dxf>
    <dxf>
      <font>
        <color rgb="FF92D050"/>
      </font>
      <fill>
        <patternFill>
          <bgColor rgb="FF92D050"/>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679E2A"/>
      </font>
      <fill>
        <patternFill>
          <bgColor rgb="FF70AC2E"/>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679E2A"/>
      </font>
      <fill>
        <patternFill>
          <bgColor rgb="FF70AC2E"/>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FFC000"/>
      </font>
      <fill>
        <patternFill>
          <bgColor rgb="FFFFC000"/>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0000"/>
      </font>
      <fill>
        <patternFill>
          <bgColor rgb="FFFF0000"/>
        </patternFill>
      </fill>
    </dxf>
    <dxf>
      <font>
        <color theme="0" tint="-0.34998626667073579"/>
      </font>
      <fill>
        <patternFill>
          <bgColor theme="0" tint="-0.34998626667073579"/>
        </patternFill>
      </fill>
    </dxf>
    <dxf>
      <font>
        <color rgb="FF0070C0"/>
      </font>
      <fill>
        <patternFill>
          <bgColor rgb="FF0070C0"/>
        </patternFill>
      </fill>
    </dxf>
    <dxf>
      <font>
        <color rgb="FF679E2A"/>
      </font>
      <fill>
        <patternFill>
          <bgColor rgb="FF70AC2E"/>
        </patternFill>
      </fill>
    </dxf>
    <dxf>
      <font>
        <color rgb="FFFFC000"/>
      </font>
      <fill>
        <patternFill>
          <bgColor rgb="FFFFC000"/>
        </patternFill>
      </fill>
    </dxf>
    <dxf>
      <font>
        <color rgb="FF92D050"/>
      </font>
      <fill>
        <patternFill>
          <bgColor rgb="FF92D050"/>
        </patternFill>
      </fill>
    </dxf>
    <dxf>
      <font>
        <color rgb="FFFFC000"/>
      </font>
      <fill>
        <patternFill>
          <bgColor rgb="FFFFC000"/>
        </patternFill>
      </fill>
    </dxf>
    <dxf>
      <font>
        <color rgb="FF0070C0"/>
      </font>
      <fill>
        <patternFill>
          <bgColor rgb="FF0070C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679E2A"/>
      </font>
      <fill>
        <patternFill>
          <bgColor rgb="FF70AC2E"/>
        </patternFill>
      </fill>
    </dxf>
    <dxf>
      <font>
        <color theme="1" tint="0.14996795556505021"/>
      </font>
      <fill>
        <patternFill>
          <bgColor theme="1" tint="0.14996795556505021"/>
        </patternFill>
      </fill>
    </dxf>
    <dxf>
      <font>
        <color rgb="FFFFC000"/>
      </font>
      <fill>
        <patternFill>
          <bgColor rgb="FFFFC000"/>
        </patternFill>
      </fill>
    </dxf>
    <dxf>
      <font>
        <color rgb="FFFF0000"/>
      </font>
      <fill>
        <patternFill>
          <bgColor rgb="FFFF0000"/>
        </patternFill>
      </fill>
    </dxf>
    <dxf>
      <font>
        <color theme="1" tint="0.14996795556505021"/>
      </font>
      <fill>
        <patternFill>
          <bgColor theme="1" tint="0.14996795556505021"/>
        </patternFill>
      </fill>
    </dxf>
    <dxf>
      <font>
        <color rgb="FFFFC000"/>
      </font>
      <fill>
        <patternFill>
          <bgColor rgb="FFFFC000"/>
        </patternFill>
      </fill>
    </dxf>
    <dxf>
      <font>
        <color rgb="FF679E2A"/>
      </font>
      <fill>
        <patternFill>
          <bgColor rgb="FF70AC2E"/>
        </patternFill>
      </fill>
    </dxf>
    <dxf>
      <font>
        <color rgb="FF0070C0"/>
      </font>
      <fill>
        <patternFill>
          <bgColor rgb="FF0070C0"/>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FFC000"/>
      </font>
      <fill>
        <patternFill>
          <bgColor rgb="FFFFC000"/>
        </patternFill>
      </fill>
    </dxf>
    <dxf>
      <font>
        <color theme="1" tint="0.14996795556505021"/>
      </font>
      <fill>
        <patternFill>
          <bgColor theme="1" tint="0.14996795556505021"/>
        </patternFill>
      </fill>
    </dxf>
    <dxf>
      <font>
        <color rgb="FFFF0000"/>
      </font>
      <fill>
        <patternFill>
          <bgColor rgb="FFFF0000"/>
        </patternFill>
      </fill>
    </dxf>
    <dxf>
      <font>
        <color rgb="FF679E2A"/>
      </font>
      <fill>
        <patternFill>
          <bgColor rgb="FF70AC2E"/>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theme="0" tint="-0.34998626667073579"/>
      </font>
      <fill>
        <patternFill>
          <bgColor theme="0" tint="-0.34998626667073579"/>
        </patternFill>
      </fill>
    </dxf>
    <dxf>
      <font>
        <color rgb="FF0070C0"/>
      </font>
      <fill>
        <patternFill>
          <bgColor rgb="FF0070C0"/>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AFD7FF"/>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FCE480"/>
        </patternFill>
      </fill>
    </dxf>
    <dxf>
      <fill>
        <patternFill>
          <bgColor rgb="FFFF9FA1"/>
        </patternFill>
      </fill>
    </dxf>
    <dxf>
      <fill>
        <patternFill>
          <bgColor rgb="FF93FFB7"/>
        </patternFill>
      </fill>
    </dxf>
    <dxf>
      <fill>
        <patternFill>
          <bgColor rgb="FFFFFF9B"/>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FFFF9B"/>
        </patternFill>
      </fill>
    </dxf>
    <dxf>
      <fill>
        <patternFill>
          <bgColor rgb="FFFF9FA1"/>
        </patternFill>
      </fill>
    </dxf>
    <dxf>
      <fill>
        <patternFill>
          <bgColor rgb="FFFCE480"/>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FFF9B"/>
        </patternFill>
      </fill>
    </dxf>
    <dxf>
      <fill>
        <patternFill>
          <bgColor rgb="FF93FFB7"/>
        </patternFill>
      </fill>
    </dxf>
    <dxf>
      <fill>
        <patternFill>
          <bgColor rgb="FFAFD7FF"/>
        </patternFill>
      </fill>
    </dxf>
    <dxf>
      <fill>
        <patternFill>
          <bgColor rgb="FFFCE480"/>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9FA1"/>
        </patternFill>
      </fill>
    </dxf>
    <dxf>
      <fill>
        <patternFill>
          <bgColor rgb="FFFFFF9B"/>
        </patternFill>
      </fill>
    </dxf>
    <dxf>
      <fill>
        <patternFill>
          <bgColor rgb="FFFCE480"/>
        </patternFill>
      </fill>
    </dxf>
    <dxf>
      <fill>
        <patternFill>
          <bgColor rgb="FFAFD7FF"/>
        </patternFill>
      </fill>
    </dxf>
    <dxf>
      <fill>
        <patternFill>
          <bgColor rgb="FFFF9FA1"/>
        </patternFill>
      </fill>
    </dxf>
    <dxf>
      <fill>
        <patternFill>
          <bgColor rgb="FF93FFB7"/>
        </patternFill>
      </fill>
    </dxf>
    <dxf>
      <fill>
        <patternFill>
          <bgColor rgb="FF2FFF74"/>
        </patternFill>
      </fill>
    </dxf>
    <dxf>
      <fill>
        <patternFill>
          <bgColor rgb="FFFFFF0D"/>
        </patternFill>
      </fill>
    </dxf>
    <dxf>
      <fill>
        <patternFill>
          <bgColor rgb="FFF9CC0B"/>
        </patternFill>
      </fill>
    </dxf>
    <dxf>
      <fill>
        <patternFill>
          <bgColor rgb="FFFF6165"/>
        </patternFill>
      </fill>
    </dxf>
    <dxf>
      <fill>
        <patternFill>
          <bgColor rgb="FF75BAFF"/>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92D050"/>
      </font>
      <fill>
        <patternFill>
          <bgColor rgb="FF92D050"/>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679E2A"/>
      </font>
      <fill>
        <patternFill>
          <bgColor rgb="FF70AC2E"/>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rgb="FFFFFF00"/>
      </font>
      <fill>
        <patternFill>
          <bgColor rgb="FFFFFF00"/>
        </patternFill>
      </fill>
    </dxf>
    <dxf>
      <font>
        <color theme="9" tint="0.59996337778862885"/>
      </font>
      <fill>
        <patternFill>
          <bgColor theme="9" tint="0.59996337778862885"/>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FF0000"/>
      </font>
      <fill>
        <patternFill>
          <bgColor rgb="FFFF0000"/>
        </patternFill>
      </fill>
    </dxf>
    <dxf>
      <font>
        <color theme="0" tint="-0.14996795556505021"/>
      </font>
      <fill>
        <patternFill>
          <bgColor theme="0" tint="-0.14996795556505021"/>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00B050"/>
      </font>
      <fill>
        <patternFill>
          <bgColor rgb="FF00B050"/>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00B050"/>
      </font>
      <fill>
        <patternFill>
          <bgColor rgb="FF00B05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theme="9" tint="0.59996337778862885"/>
      </font>
      <fill>
        <patternFill>
          <bgColor theme="9" tint="0.59996337778862885"/>
        </patternFill>
      </fill>
    </dxf>
    <dxf>
      <font>
        <color rgb="FFFF0000"/>
      </font>
      <fill>
        <patternFill>
          <bgColor rgb="FFFF00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theme="0" tint="-0.14996795556505021"/>
      </font>
      <fill>
        <patternFill>
          <bgColor theme="0" tint="-0.14996795556505021"/>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rgb="FF00B050"/>
      </font>
      <fill>
        <patternFill>
          <bgColor rgb="FF00B050"/>
        </patternFill>
      </fill>
    </dxf>
    <dxf>
      <font>
        <color rgb="FFFF0000"/>
      </font>
      <fill>
        <patternFill>
          <bgColor rgb="FFFF0000"/>
        </patternFill>
      </fill>
    </dxf>
    <dxf>
      <font>
        <color rgb="FFFFFF00"/>
      </font>
      <fill>
        <patternFill>
          <bgColor rgb="FFFFFF00"/>
        </patternFill>
      </fill>
    </dxf>
    <dxf>
      <font>
        <color rgb="FFFF0000"/>
      </font>
      <fill>
        <patternFill>
          <bgColor rgb="FFFF0000"/>
        </patternFill>
      </fill>
    </dxf>
    <dxf>
      <font>
        <color theme="9" tint="0.59996337778862885"/>
      </font>
      <fill>
        <patternFill>
          <bgColor theme="9" tint="0.59996337778862885"/>
        </patternFill>
      </fill>
    </dxf>
    <dxf>
      <font>
        <color rgb="FFFFFF00"/>
      </font>
      <fill>
        <patternFill>
          <bgColor rgb="FFFFFF00"/>
        </patternFill>
      </fill>
    </dxf>
    <dxf>
      <font>
        <color rgb="FF00B050"/>
      </font>
      <fill>
        <patternFill>
          <bgColor rgb="FF00B050"/>
        </patternFill>
      </fill>
    </dxf>
    <dxf>
      <font>
        <color theme="0" tint="-0.34998626667073579"/>
      </font>
      <fill>
        <patternFill>
          <bgColor theme="0" tint="-0.34998626667073579"/>
        </patternFill>
      </fill>
    </dxf>
    <dxf>
      <font>
        <color theme="0" tint="-0.14996795556505021"/>
      </font>
      <fill>
        <patternFill>
          <bgColor theme="0" tint="-0.14996795556505021"/>
        </patternFill>
      </fill>
    </dxf>
    <dxf>
      <font>
        <color theme="9" tint="0.59996337778862885"/>
      </font>
      <fill>
        <patternFill>
          <bgColor theme="9" tint="0.59996337778862885"/>
        </patternFill>
      </fill>
    </dxf>
    <dxf>
      <font>
        <color rgb="FFFF0000"/>
      </font>
      <fill>
        <patternFill>
          <bgColor rgb="FFFF0000"/>
        </patternFill>
      </fill>
    </dxf>
    <dxf>
      <font>
        <color rgb="FFFFFF00"/>
      </font>
      <fill>
        <patternFill>
          <bgColor rgb="FFFFFF00"/>
        </patternFill>
      </fill>
    </dxf>
    <dxf>
      <font>
        <color theme="0" tint="-0.34998626667073579"/>
      </font>
      <fill>
        <patternFill>
          <bgColor theme="0" tint="-0.34998626667073579"/>
        </patternFill>
      </fill>
    </dxf>
    <dxf>
      <font>
        <color rgb="FF00B050"/>
      </font>
      <fill>
        <patternFill>
          <bgColor rgb="FF00B050"/>
        </patternFill>
      </fill>
    </dxf>
    <dxf>
      <font>
        <color theme="0" tint="-0.14996795556505021"/>
      </font>
      <fill>
        <patternFill>
          <bgColor theme="0" tint="-0.14996795556505021"/>
        </patternFill>
      </fill>
    </dxf>
    <dxf>
      <font>
        <color rgb="FFFFFF00"/>
      </font>
      <fill>
        <patternFill>
          <bgColor rgb="FFFFFF00"/>
        </patternFill>
      </fill>
    </dxf>
    <dxf>
      <font>
        <color rgb="FF00B050"/>
      </font>
      <fill>
        <patternFill>
          <bgColor rgb="FF00B050"/>
        </patternFill>
      </fill>
    </dxf>
    <dxf>
      <font>
        <color theme="0" tint="-0.14996795556505021"/>
      </font>
      <fill>
        <patternFill>
          <bgColor theme="0" tint="-0.14996795556505021"/>
        </patternFill>
      </fill>
    </dxf>
    <dxf>
      <font>
        <color rgb="FFFF0000"/>
      </font>
      <fill>
        <patternFill>
          <bgColor rgb="FFFF0000"/>
        </patternFill>
      </fill>
    </dxf>
    <dxf>
      <font>
        <color theme="9" tint="0.59996337778862885"/>
      </font>
      <fill>
        <patternFill>
          <bgColor theme="9" tint="0.59996337778862885"/>
        </patternFill>
      </fill>
    </dxf>
    <dxf>
      <font>
        <color theme="0" tint="-0.34998626667073579"/>
      </font>
      <fill>
        <patternFill>
          <bgColor theme="0" tint="-0.34998626667073579"/>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679E2A"/>
      </font>
      <fill>
        <patternFill>
          <bgColor rgb="FF70AC2E"/>
        </patternFill>
      </fill>
    </dxf>
    <dxf>
      <font>
        <color rgb="FF92D050"/>
      </font>
      <fill>
        <patternFill>
          <bgColor rgb="FF92D050"/>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0070C0"/>
      </font>
      <fill>
        <patternFill>
          <bgColor rgb="FF0070C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theme="1" tint="0.14996795556505021"/>
      </font>
      <fill>
        <patternFill>
          <bgColor theme="1" tint="0.14996795556505021"/>
        </patternFill>
      </fill>
    </dxf>
    <dxf>
      <font>
        <color theme="1" tint="0.14996795556505021"/>
      </font>
      <fill>
        <patternFill>
          <bgColor theme="1" tint="0.14996795556505021"/>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679E2A"/>
      </font>
      <fill>
        <patternFill>
          <bgColor rgb="FF70AC2E"/>
        </patternFill>
      </fill>
    </dxf>
    <dxf>
      <font>
        <color theme="0" tint="-0.34998626667073579"/>
      </font>
      <fill>
        <patternFill>
          <bgColor theme="0" tint="-0.34998626667073579"/>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theme="1" tint="0.14996795556505021"/>
      </font>
      <fill>
        <patternFill>
          <bgColor theme="1" tint="0.14996795556505021"/>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rgb="FF92D050"/>
      </font>
      <fill>
        <patternFill>
          <bgColor rgb="FF92D050"/>
        </patternFill>
      </fill>
    </dxf>
    <dxf>
      <font>
        <color rgb="FF92D050"/>
      </font>
      <fill>
        <patternFill>
          <bgColor rgb="FF92D050"/>
        </patternFill>
      </fill>
    </dxf>
    <dxf>
      <font>
        <color rgb="FF0070C0"/>
      </font>
      <fill>
        <patternFill>
          <bgColor rgb="FF0070C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rgb="FF0070C0"/>
      </font>
      <fill>
        <patternFill>
          <bgColor rgb="FF0070C0"/>
        </patternFill>
      </fill>
    </dxf>
    <dxf>
      <font>
        <color rgb="FFFF0000"/>
      </font>
      <fill>
        <patternFill>
          <bgColor rgb="FFFF0000"/>
        </patternFill>
      </fill>
    </dxf>
    <dxf>
      <font>
        <color rgb="FF92D050"/>
      </font>
      <fill>
        <patternFill>
          <bgColor rgb="FF92D050"/>
        </patternFill>
      </fill>
    </dxf>
    <dxf>
      <font>
        <color theme="1" tint="0.14996795556505021"/>
      </font>
      <fill>
        <patternFill>
          <bgColor theme="1" tint="0.14996795556505021"/>
        </patternFill>
      </fill>
    </dxf>
    <dxf>
      <font>
        <color rgb="FF679E2A"/>
      </font>
      <fill>
        <patternFill>
          <bgColor rgb="FF70AC2E"/>
        </patternFill>
      </fill>
    </dxf>
    <dxf>
      <font>
        <color rgb="FFFFC000"/>
      </font>
      <fill>
        <patternFill>
          <bgColor rgb="FFFFC000"/>
        </patternFill>
      </fill>
    </dxf>
    <dxf>
      <font>
        <color rgb="FF679E2A"/>
      </font>
      <fill>
        <patternFill>
          <bgColor rgb="FF70AC2E"/>
        </patternFill>
      </fill>
    </dxf>
    <dxf>
      <font>
        <color theme="1" tint="0.14996795556505021"/>
      </font>
      <fill>
        <patternFill>
          <bgColor theme="1" tint="0.14996795556505021"/>
        </patternFill>
      </fill>
    </dxf>
    <dxf>
      <font>
        <color rgb="FF92D050"/>
      </font>
      <fill>
        <patternFill>
          <bgColor rgb="FF92D050"/>
        </patternFill>
      </fill>
    </dxf>
    <dxf>
      <font>
        <color rgb="FF0070C0"/>
      </font>
      <fill>
        <patternFill>
          <bgColor rgb="FF0070C0"/>
        </patternFill>
      </fill>
    </dxf>
    <dxf>
      <font>
        <color rgb="FFFFC000"/>
      </font>
      <fill>
        <patternFill>
          <bgColor rgb="FFFFC000"/>
        </patternFill>
      </fill>
    </dxf>
    <dxf>
      <font>
        <color rgb="FFFF0000"/>
      </font>
      <fill>
        <patternFill>
          <bgColor rgb="FFFF0000"/>
        </patternFill>
      </fill>
    </dxf>
    <dxf>
      <font>
        <color rgb="FFFFC000"/>
      </font>
      <fill>
        <patternFill>
          <bgColor rgb="FFFFC000"/>
        </patternFill>
      </fill>
    </dxf>
    <dxf>
      <font>
        <color rgb="FF92D050"/>
      </font>
      <fill>
        <patternFill>
          <bgColor rgb="FF92D050"/>
        </patternFill>
      </fill>
    </dxf>
    <dxf>
      <font>
        <color rgb="FF679E2A"/>
      </font>
      <fill>
        <patternFill>
          <bgColor rgb="FF70AC2E"/>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ont>
        <color theme="1" tint="0.14996795556505021"/>
      </font>
      <fill>
        <patternFill>
          <bgColor theme="1" tint="0.14996795556505021"/>
        </patternFill>
      </fill>
    </dxf>
    <dxf>
      <font>
        <color rgb="FF679E2A"/>
      </font>
      <fill>
        <patternFill>
          <bgColor rgb="FF70AC2E"/>
        </patternFill>
      </fill>
    </dxf>
    <dxf>
      <font>
        <color rgb="FF92D050"/>
      </font>
      <fill>
        <patternFill>
          <bgColor rgb="FF92D050"/>
        </patternFill>
      </fill>
    </dxf>
    <dxf>
      <font>
        <color rgb="FFFFC000"/>
      </font>
      <fill>
        <patternFill>
          <bgColor rgb="FFFFC000"/>
        </patternFill>
      </fill>
    </dxf>
    <dxf>
      <font>
        <color rgb="FFFF0000"/>
      </font>
      <fill>
        <patternFill>
          <bgColor rgb="FFFF0000"/>
        </patternFill>
      </fill>
    </dxf>
    <dxf>
      <font>
        <color rgb="FF0070C0"/>
      </font>
      <fill>
        <patternFill>
          <bgColor rgb="FF0070C0"/>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AFD7FF"/>
        </patternFill>
      </fill>
    </dxf>
    <dxf>
      <fill>
        <patternFill>
          <bgColor rgb="FF93FFB7"/>
        </patternFill>
      </fill>
    </dxf>
    <dxf>
      <fill>
        <patternFill>
          <bgColor rgb="FFFFFF9B"/>
        </patternFill>
      </fill>
    </dxf>
    <dxf>
      <fill>
        <patternFill>
          <bgColor rgb="FFFCE480"/>
        </patternFill>
      </fill>
    </dxf>
    <dxf>
      <fill>
        <patternFill>
          <bgColor rgb="FFFF9FA1"/>
        </patternFill>
      </fill>
    </dxf>
    <dxf>
      <fill>
        <patternFill>
          <bgColor rgb="FF93FFB7"/>
        </patternFill>
      </fill>
    </dxf>
    <dxf>
      <fill>
        <patternFill>
          <bgColor rgb="FFFF9FA1"/>
        </patternFill>
      </fill>
    </dxf>
    <dxf>
      <fill>
        <patternFill>
          <bgColor rgb="FFFCE480"/>
        </patternFill>
      </fill>
    </dxf>
    <dxf>
      <fill>
        <patternFill>
          <bgColor rgb="FFFFFF9B"/>
        </patternFill>
      </fill>
    </dxf>
    <dxf>
      <fill>
        <patternFill>
          <bgColor rgb="FFAFD7FF"/>
        </patternFill>
      </fill>
    </dxf>
    <dxf>
      <fill>
        <patternFill>
          <bgColor rgb="FFFF9FA1"/>
        </patternFill>
      </fill>
    </dxf>
    <dxf>
      <fill>
        <patternFill>
          <bgColor rgb="FFFCE480"/>
        </patternFill>
      </fill>
    </dxf>
    <dxf>
      <fill>
        <patternFill>
          <bgColor rgb="FFFFFF9B"/>
        </patternFill>
      </fill>
    </dxf>
    <dxf>
      <fill>
        <patternFill>
          <bgColor rgb="FF93FFB7"/>
        </patternFill>
      </fill>
    </dxf>
    <dxf>
      <fill>
        <patternFill>
          <bgColor rgb="FFAFD7FF"/>
        </patternFill>
      </fill>
    </dxf>
    <dxf>
      <fill>
        <patternFill>
          <bgColor rgb="FFFFFF0D"/>
        </patternFill>
      </fill>
    </dxf>
    <dxf>
      <fill>
        <patternFill>
          <bgColor rgb="FF2FFF74"/>
        </patternFill>
      </fill>
    </dxf>
    <dxf>
      <fill>
        <patternFill>
          <bgColor rgb="FF75BAFF"/>
        </patternFill>
      </fill>
    </dxf>
    <dxf>
      <fill>
        <patternFill>
          <bgColor rgb="FFFF6165"/>
        </patternFill>
      </fill>
    </dxf>
    <dxf>
      <fill>
        <patternFill>
          <bgColor rgb="FFF9CC0B"/>
        </patternFill>
      </fill>
    </dxf>
  </dxfs>
  <tableStyles count="0" defaultTableStyle="TableStyleMedium2" defaultPivotStyle="PivotStyleLight16"/>
  <colors>
    <mruColors>
      <color rgb="FF93FFB7"/>
      <color rgb="FFFFFF9B"/>
      <color rgb="FFAFD7FF"/>
      <color rgb="FFFF9FA1"/>
      <color rgb="FFFCE480"/>
      <color rgb="FFF9CC0B"/>
      <color rgb="FFFF6165"/>
      <color rgb="FFFFFF0D"/>
      <color rgb="FF2FFF74"/>
      <color rgb="FF75BA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hyperlink" Target="#'1.5'!C3"/><Relationship Id="rId1" Type="http://schemas.openxmlformats.org/officeDocument/2006/relationships/hyperlink" Target="#'Cover Sheet'!A1"/></Relationships>
</file>

<file path=xl/drawings/_rels/drawing2.xml.rels><?xml version="1.0" encoding="UTF-8" standalone="yes"?>
<Relationships xmlns="http://schemas.openxmlformats.org/package/2006/relationships"><Relationship Id="rId2" Type="http://schemas.openxmlformats.org/officeDocument/2006/relationships/hyperlink" Target="#'2.4'!C3"/><Relationship Id="rId1" Type="http://schemas.openxmlformats.org/officeDocument/2006/relationships/hyperlink" Target="#'Cover Sheet'!A1"/></Relationships>
</file>

<file path=xl/drawings/_rels/drawing3.xml.rels><?xml version="1.0" encoding="UTF-8" standalone="yes"?>
<Relationships xmlns="http://schemas.openxmlformats.org/package/2006/relationships"><Relationship Id="rId2" Type="http://schemas.openxmlformats.org/officeDocument/2006/relationships/hyperlink" Target="#'2.5'!C3"/><Relationship Id="rId1" Type="http://schemas.openxmlformats.org/officeDocument/2006/relationships/hyperlink" Target="#'Cover Sheet'!A1"/></Relationships>
</file>

<file path=xl/drawings/_rels/drawing4.xml.rels><?xml version="1.0" encoding="UTF-8" standalone="yes"?>
<Relationships xmlns="http://schemas.openxmlformats.org/package/2006/relationships"><Relationship Id="rId2" Type="http://schemas.openxmlformats.org/officeDocument/2006/relationships/hyperlink" Target="#'3.3'!C3"/><Relationship Id="rId1" Type="http://schemas.openxmlformats.org/officeDocument/2006/relationships/hyperlink" Target="#'Cover Sheet'!A1"/></Relationships>
</file>

<file path=xl/drawings/_rels/drawing5.xml.rels><?xml version="1.0" encoding="UTF-8" standalone="yes"?>
<Relationships xmlns="http://schemas.openxmlformats.org/package/2006/relationships"><Relationship Id="rId2" Type="http://schemas.openxmlformats.org/officeDocument/2006/relationships/hyperlink" Target="#'3.4'!C3"/><Relationship Id="rId1" Type="http://schemas.openxmlformats.org/officeDocument/2006/relationships/hyperlink" Target="#'Cover Sheet'!A1"/></Relationships>
</file>

<file path=xl/drawings/_rels/drawing6.xml.rels><?xml version="1.0" encoding="UTF-8" standalone="yes"?>
<Relationships xmlns="http://schemas.openxmlformats.org/package/2006/relationships"><Relationship Id="rId2" Type="http://schemas.openxmlformats.org/officeDocument/2006/relationships/hyperlink" Target="#'3.5'!C3"/><Relationship Id="rId1" Type="http://schemas.openxmlformats.org/officeDocument/2006/relationships/hyperlink" Target="#'Cover Sheet'!A1"/></Relationships>
</file>

<file path=xl/drawings/_rels/drawing7.xml.rels><?xml version="1.0" encoding="UTF-8" standalone="yes"?>
<Relationships xmlns="http://schemas.openxmlformats.org/package/2006/relationships"><Relationship Id="rId2" Type="http://schemas.openxmlformats.org/officeDocument/2006/relationships/hyperlink" Target="#'5.3'!C3"/><Relationship Id="rId1" Type="http://schemas.openxmlformats.org/officeDocument/2006/relationships/hyperlink" Target="#'Cover Sheet'!A1"/></Relationships>
</file>

<file path=xl/drawings/_rels/drawing8.xml.rels><?xml version="1.0" encoding="UTF-8" standalone="yes"?>
<Relationships xmlns="http://schemas.openxmlformats.org/package/2006/relationships"><Relationship Id="rId2" Type="http://schemas.openxmlformats.org/officeDocument/2006/relationships/hyperlink" Target="#'5.4'!C3"/><Relationship Id="rId1" Type="http://schemas.openxmlformats.org/officeDocument/2006/relationships/hyperlink" Target="#'Cover Sheet'!A1"/></Relationships>
</file>

<file path=xl/drawings/_rels/drawing9.xml.rels><?xml version="1.0" encoding="UTF-8" standalone="yes"?>
<Relationships xmlns="http://schemas.openxmlformats.org/package/2006/relationships"><Relationship Id="rId2" Type="http://schemas.openxmlformats.org/officeDocument/2006/relationships/hyperlink" Target="#'5.5'!C3"/><Relationship Id="rId1" Type="http://schemas.openxmlformats.org/officeDocument/2006/relationships/hyperlink" Target="#'Cover Sheet'!A1"/></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0</xdr:row>
      <xdr:rowOff>349250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bwMode="auto">
        <a:xfrm>
          <a:off x="0" y="0"/>
          <a:ext cx="1852083" cy="349250"/>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5292</xdr:colOff>
      <xdr:row>1</xdr:row>
      <xdr:rowOff>0</xdr:rowOff>
    </xdr:from>
    <xdr:to>
      <xdr:col>2</xdr:col>
      <xdr:colOff>0</xdr:colOff>
      <xdr:row>1</xdr:row>
      <xdr:rowOff>349250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600-000003000000}"/>
            </a:ext>
          </a:extLst>
        </xdr:cNvPr>
        <xdr:cNvSpPr/>
      </xdr:nvSpPr>
      <xdr:spPr bwMode="auto">
        <a:xfrm>
          <a:off x="5292" y="352425"/>
          <a:ext cx="1871133" cy="349250"/>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600-000004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0600-000005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A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A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A00-000004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0A00-000005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B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B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B00-000004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0B00-000005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0F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0F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0F00-000004000000}"/>
            </a:ext>
          </a:extLst>
        </xdr:cNvPr>
        <xdr:cNvSpPr/>
      </xdr:nvSpPr>
      <xdr:spPr bwMode="auto">
        <a:xfrm>
          <a:off x="0" y="0"/>
          <a:ext cx="1876425"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0F00-000005000000}"/>
            </a:ext>
          </a:extLst>
        </xdr:cNvPr>
        <xdr:cNvSpPr/>
      </xdr:nvSpPr>
      <xdr:spPr bwMode="auto">
        <a:xfrm>
          <a:off x="0" y="352425"/>
          <a:ext cx="1876425"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0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10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1000-000004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1000-000005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1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11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4" name="Rounded Rectangle 3">
          <a:hlinkClick xmlns:r="http://schemas.openxmlformats.org/officeDocument/2006/relationships" r:id="rId1"/>
          <a:extLst>
            <a:ext uri="{FF2B5EF4-FFF2-40B4-BE49-F238E27FC236}">
              <a16:creationId xmlns:a16="http://schemas.microsoft.com/office/drawing/2014/main" id="{00000000-0008-0000-1100-000004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5" name="Rounded Rectangle 4">
          <a:hlinkClick xmlns:r="http://schemas.openxmlformats.org/officeDocument/2006/relationships" r:id="rId2"/>
          <a:extLst>
            <a:ext uri="{FF2B5EF4-FFF2-40B4-BE49-F238E27FC236}">
              <a16:creationId xmlns:a16="http://schemas.microsoft.com/office/drawing/2014/main" id="{00000000-0008-0000-1100-000005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33" name="Rounded Rectangle 32">
          <a:hlinkClick xmlns:r="http://schemas.openxmlformats.org/officeDocument/2006/relationships" r:id="rId1"/>
          <a:extLst>
            <a:ext uri="{FF2B5EF4-FFF2-40B4-BE49-F238E27FC236}">
              <a16:creationId xmlns:a16="http://schemas.microsoft.com/office/drawing/2014/main" id="{00000000-0008-0000-1A00-000021000000}"/>
            </a:ext>
          </a:extLst>
        </xdr:cNvPr>
        <xdr:cNvSpPr/>
      </xdr:nvSpPr>
      <xdr:spPr bwMode="auto">
        <a:xfrm>
          <a:off x="952500" y="0"/>
          <a:ext cx="1852083" cy="349250"/>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5" name="Rounded Rectangle 34">
          <a:hlinkClick xmlns:r="http://schemas.openxmlformats.org/officeDocument/2006/relationships" r:id="rId2"/>
          <a:extLst>
            <a:ext uri="{FF2B5EF4-FFF2-40B4-BE49-F238E27FC236}">
              <a16:creationId xmlns:a16="http://schemas.microsoft.com/office/drawing/2014/main" id="{00000000-0008-0000-1A00-000023000000}"/>
            </a:ext>
          </a:extLst>
        </xdr:cNvPr>
        <xdr:cNvSpPr/>
      </xdr:nvSpPr>
      <xdr:spPr bwMode="auto">
        <a:xfrm>
          <a:off x="952500" y="349250"/>
          <a:ext cx="1852083" cy="349250"/>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1A00-000006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7" name="Rounded Rectangle 6">
          <a:hlinkClick xmlns:r="http://schemas.openxmlformats.org/officeDocument/2006/relationships" r:id="rId2"/>
          <a:extLst>
            <a:ext uri="{FF2B5EF4-FFF2-40B4-BE49-F238E27FC236}">
              <a16:creationId xmlns:a16="http://schemas.microsoft.com/office/drawing/2014/main" id="{00000000-0008-0000-1A00-000007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B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1B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1B00-000006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7" name="Rounded Rectangle 6">
          <a:hlinkClick xmlns:r="http://schemas.openxmlformats.org/officeDocument/2006/relationships" r:id="rId2"/>
          <a:extLst>
            <a:ext uri="{FF2B5EF4-FFF2-40B4-BE49-F238E27FC236}">
              <a16:creationId xmlns:a16="http://schemas.microsoft.com/office/drawing/2014/main" id="{00000000-0008-0000-1B00-000007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1852083</xdr:colOff>
      <xdr:row>1</xdr:row>
      <xdr:rowOff>0</xdr:rowOff>
    </xdr:to>
    <xdr:sp macro="" textlink="">
      <xdr:nvSpPr>
        <xdr:cNvPr id="2" name="Rounded Rectangle 1">
          <a:hlinkClick xmlns:r="http://schemas.openxmlformats.org/officeDocument/2006/relationships" r:id="rId1"/>
          <a:extLst>
            <a:ext uri="{FF2B5EF4-FFF2-40B4-BE49-F238E27FC236}">
              <a16:creationId xmlns:a16="http://schemas.microsoft.com/office/drawing/2014/main" id="{00000000-0008-0000-1C00-000002000000}"/>
            </a:ext>
          </a:extLst>
        </xdr:cNvPr>
        <xdr:cNvSpPr/>
      </xdr:nvSpPr>
      <xdr:spPr bwMode="auto">
        <a:xfrm>
          <a:off x="0" y="0"/>
          <a:ext cx="1852083"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1</xdr:col>
      <xdr:colOff>0</xdr:colOff>
      <xdr:row>1</xdr:row>
      <xdr:rowOff>0</xdr:rowOff>
    </xdr:from>
    <xdr:to>
      <xdr:col>1</xdr:col>
      <xdr:colOff>1852083</xdr:colOff>
      <xdr:row>2</xdr:row>
      <xdr:rowOff>0</xdr:rowOff>
    </xdr:to>
    <xdr:sp macro="" textlink="">
      <xdr:nvSpPr>
        <xdr:cNvPr id="3" name="Rounded Rectangle 2">
          <a:hlinkClick xmlns:r="http://schemas.openxmlformats.org/officeDocument/2006/relationships" r:id="rId2"/>
          <a:extLst>
            <a:ext uri="{FF2B5EF4-FFF2-40B4-BE49-F238E27FC236}">
              <a16:creationId xmlns:a16="http://schemas.microsoft.com/office/drawing/2014/main" id="{00000000-0008-0000-1C00-000003000000}"/>
            </a:ext>
          </a:extLst>
        </xdr:cNvPr>
        <xdr:cNvSpPr/>
      </xdr:nvSpPr>
      <xdr:spPr bwMode="auto">
        <a:xfrm>
          <a:off x="0" y="352425"/>
          <a:ext cx="1852083"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twoCellAnchor>
    <xdr:from>
      <xdr:col>0</xdr:col>
      <xdr:colOff>0</xdr:colOff>
      <xdr:row>0</xdr:row>
      <xdr:rowOff>0</xdr:rowOff>
    </xdr:from>
    <xdr:to>
      <xdr:col>2</xdr:col>
      <xdr:colOff>0</xdr:colOff>
      <xdr:row>1</xdr:row>
      <xdr:rowOff>0</xdr:rowOff>
    </xdr:to>
    <xdr:sp macro="" textlink="">
      <xdr:nvSpPr>
        <xdr:cNvPr id="6" name="Rounded Rectangle 5">
          <a:hlinkClick xmlns:r="http://schemas.openxmlformats.org/officeDocument/2006/relationships" r:id="rId1"/>
          <a:extLst>
            <a:ext uri="{FF2B5EF4-FFF2-40B4-BE49-F238E27FC236}">
              <a16:creationId xmlns:a16="http://schemas.microsoft.com/office/drawing/2014/main" id="{00000000-0008-0000-1C00-000006000000}"/>
            </a:ext>
          </a:extLst>
        </xdr:cNvPr>
        <xdr:cNvSpPr/>
      </xdr:nvSpPr>
      <xdr:spPr bwMode="auto">
        <a:xfrm>
          <a:off x="0" y="0"/>
          <a:ext cx="2819400" cy="352425"/>
        </a:xfrm>
        <a:prstGeom prst="roundRect">
          <a:avLst/>
        </a:prstGeom>
        <a:solidFill>
          <a:srgbClr val="57D3FF"/>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Cover Sheet</a:t>
          </a:r>
        </a:p>
      </xdr:txBody>
    </xdr:sp>
    <xdr:clientData/>
  </xdr:twoCellAnchor>
  <xdr:twoCellAnchor>
    <xdr:from>
      <xdr:col>0</xdr:col>
      <xdr:colOff>0</xdr:colOff>
      <xdr:row>1</xdr:row>
      <xdr:rowOff>0</xdr:rowOff>
    </xdr:from>
    <xdr:to>
      <xdr:col>2</xdr:col>
      <xdr:colOff>0</xdr:colOff>
      <xdr:row>2</xdr:row>
      <xdr:rowOff>0</xdr:rowOff>
    </xdr:to>
    <xdr:sp macro="" textlink="">
      <xdr:nvSpPr>
        <xdr:cNvPr id="7" name="Rounded Rectangle 6">
          <a:hlinkClick xmlns:r="http://schemas.openxmlformats.org/officeDocument/2006/relationships" r:id="rId2"/>
          <a:extLst>
            <a:ext uri="{FF2B5EF4-FFF2-40B4-BE49-F238E27FC236}">
              <a16:creationId xmlns:a16="http://schemas.microsoft.com/office/drawing/2014/main" id="{00000000-0008-0000-1C00-000007000000}"/>
            </a:ext>
          </a:extLst>
        </xdr:cNvPr>
        <xdr:cNvSpPr/>
      </xdr:nvSpPr>
      <xdr:spPr bwMode="auto">
        <a:xfrm>
          <a:off x="0" y="352425"/>
          <a:ext cx="2819400" cy="352425"/>
        </a:xfrm>
        <a:prstGeom prst="roundRect">
          <a:avLst/>
        </a:prstGeom>
        <a:solidFill>
          <a:srgbClr val="FFC000"/>
        </a:solidFill>
        <a:ln w="9525" cap="flat" cmpd="sng" algn="ctr">
          <a:noFill/>
          <a:prstDash val="solid"/>
          <a:round/>
          <a:headEnd type="none" w="med" len="med"/>
          <a:tailEnd type="none" w="med" len="med"/>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txBody>
        <a:bodyPr vertOverflow="clip" horzOverflow="clip" wrap="square" lIns="18288" tIns="0" rIns="0" bIns="0" rtlCol="0" anchor="ctr" upright="1"/>
        <a:lstStyle/>
        <a:p>
          <a:pPr algn="ctr"/>
          <a:r>
            <a:rPr lang="en-US" sz="1100" b="1"/>
            <a:t>Back to Top of this Page</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176969</xdr:colOff>
      <xdr:row>1</xdr:row>
      <xdr:rowOff>110254</xdr:rowOff>
    </xdr:from>
    <xdr:to>
      <xdr:col>2</xdr:col>
      <xdr:colOff>1022536</xdr:colOff>
      <xdr:row>1</xdr:row>
      <xdr:rowOff>459355</xdr:rowOff>
    </xdr:to>
    <xdr:pic>
      <xdr:nvPicPr>
        <xdr:cNvPr id="2" name="Imagem 1">
          <a:extLst>
            <a:ext uri="{FF2B5EF4-FFF2-40B4-BE49-F238E27FC236}">
              <a16:creationId xmlns:a16="http://schemas.microsoft.com/office/drawing/2014/main" id="{D47A288D-2C36-4D11-B1FE-E3F1CE3E898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29369" y="272179"/>
          <a:ext cx="1283717" cy="349101"/>
        </a:xfrm>
        <a:prstGeom prst="rect">
          <a:avLst/>
        </a:prstGeom>
      </xdr:spPr>
    </xdr:pic>
    <xdr:clientData/>
  </xdr:twoCellAnchor>
  <xdr:twoCellAnchor editAs="oneCell">
    <xdr:from>
      <xdr:col>16</xdr:col>
      <xdr:colOff>158149</xdr:colOff>
      <xdr:row>4</xdr:row>
      <xdr:rowOff>95250</xdr:rowOff>
    </xdr:from>
    <xdr:to>
      <xdr:col>19</xdr:col>
      <xdr:colOff>1129699</xdr:colOff>
      <xdr:row>4</xdr:row>
      <xdr:rowOff>2200275</xdr:rowOff>
    </xdr:to>
    <xdr:pic>
      <xdr:nvPicPr>
        <xdr:cNvPr id="5" name="Imagem 27">
          <a:extLst>
            <a:ext uri="{FF2B5EF4-FFF2-40B4-BE49-F238E27FC236}">
              <a16:creationId xmlns:a16="http://schemas.microsoft.com/office/drawing/2014/main" id="{CED04DC1-FD6F-4577-A503-04CEEF0FB5D5}"/>
            </a:ext>
            <a:ext uri="{147F2762-F138-4A5C-976F-8EAC2B608ADB}">
              <a16:predDERef xmlns:a16="http://schemas.microsoft.com/office/drawing/2014/main" pred="{48F3F5F0-C585-42AA-9116-7A3F101370F9}"/>
            </a:ext>
          </a:extLst>
        </xdr:cNvPr>
        <xdr:cNvPicPr>
          <a:picLocks noChangeAspect="1"/>
        </xdr:cNvPicPr>
      </xdr:nvPicPr>
      <xdr:blipFill>
        <a:blip xmlns:r="http://schemas.openxmlformats.org/officeDocument/2006/relationships" r:embed="rId2"/>
        <a:stretch>
          <a:fillRect/>
        </a:stretch>
      </xdr:blipFill>
      <xdr:spPr>
        <a:xfrm>
          <a:off x="16616663" y="1339507"/>
          <a:ext cx="4464050" cy="2105025"/>
        </a:xfrm>
        <a:prstGeom prst="rect">
          <a:avLst/>
        </a:prstGeom>
      </xdr:spPr>
    </xdr:pic>
    <xdr:clientData/>
  </xdr:twoCellAnchor>
  <xdr:twoCellAnchor editAs="oneCell">
    <xdr:from>
      <xdr:col>1</xdr:col>
      <xdr:colOff>167502</xdr:colOff>
      <xdr:row>4</xdr:row>
      <xdr:rowOff>595062</xdr:rowOff>
    </xdr:from>
    <xdr:to>
      <xdr:col>2</xdr:col>
      <xdr:colOff>1039401</xdr:colOff>
      <xdr:row>4</xdr:row>
      <xdr:rowOff>1381022</xdr:rowOff>
    </xdr:to>
    <xdr:pic>
      <xdr:nvPicPr>
        <xdr:cNvPr id="7" name="Imagem 6">
          <a:extLst>
            <a:ext uri="{FF2B5EF4-FFF2-40B4-BE49-F238E27FC236}">
              <a16:creationId xmlns:a16="http://schemas.microsoft.com/office/drawing/2014/main" id="{CD5DC2C9-14A2-3AC6-9C15-388C48676CDD}"/>
            </a:ext>
          </a:extLst>
        </xdr:cNvPr>
        <xdr:cNvPicPr>
          <a:picLocks noChangeAspect="1"/>
        </xdr:cNvPicPr>
      </xdr:nvPicPr>
      <xdr:blipFill>
        <a:blip xmlns:r="http://schemas.openxmlformats.org/officeDocument/2006/relationships" r:embed="rId3" cstate="print">
          <a:duotone>
            <a:prstClr val="black"/>
            <a:schemeClr val="bg1">
              <a:tint val="45000"/>
              <a:satMod val="400000"/>
            </a:schemeClr>
          </a:duotone>
          <a:extLst>
            <a:ext uri="{28A0092B-C50C-407E-A947-70E740481C1C}">
              <a14:useLocalDpi xmlns:a14="http://schemas.microsoft.com/office/drawing/2010/main" val="0"/>
            </a:ext>
          </a:extLst>
        </a:blip>
        <a:stretch>
          <a:fillRect/>
        </a:stretch>
      </xdr:blipFill>
      <xdr:spPr>
        <a:xfrm>
          <a:off x="330543" y="1839319"/>
          <a:ext cx="1326696" cy="7859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141111</xdr:colOff>
      <xdr:row>1</xdr:row>
      <xdr:rowOff>28222</xdr:rowOff>
    </xdr:from>
    <xdr:to>
      <xdr:col>2</xdr:col>
      <xdr:colOff>1431713</xdr:colOff>
      <xdr:row>1</xdr:row>
      <xdr:rowOff>540039</xdr:rowOff>
    </xdr:to>
    <xdr:pic>
      <xdr:nvPicPr>
        <xdr:cNvPr id="2" name="Imagem 1">
          <a:extLst>
            <a:ext uri="{FF2B5EF4-FFF2-40B4-BE49-F238E27FC236}">
              <a16:creationId xmlns:a16="http://schemas.microsoft.com/office/drawing/2014/main" id="{77F439BF-CB2B-4EFA-8FA1-979B1461D4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5951" y="195862"/>
          <a:ext cx="1907822" cy="511817"/>
        </a:xfrm>
        <a:prstGeom prst="rect">
          <a:avLst/>
        </a:prstGeom>
      </xdr:spPr>
    </xdr:pic>
    <xdr:clientData/>
  </xdr:twoCellAnchor>
  <xdr:twoCellAnchor>
    <xdr:from>
      <xdr:col>1</xdr:col>
      <xdr:colOff>473221</xdr:colOff>
      <xdr:row>4</xdr:row>
      <xdr:rowOff>1336431</xdr:rowOff>
    </xdr:from>
    <xdr:to>
      <xdr:col>2</xdr:col>
      <xdr:colOff>1160585</xdr:colOff>
      <xdr:row>4</xdr:row>
      <xdr:rowOff>2420049</xdr:rowOff>
    </xdr:to>
    <xdr:sp macro="" textlink="">
      <xdr:nvSpPr>
        <xdr:cNvPr id="4" name="Freeform 7">
          <a:extLst>
            <a:ext uri="{FF2B5EF4-FFF2-40B4-BE49-F238E27FC236}">
              <a16:creationId xmlns:a16="http://schemas.microsoft.com/office/drawing/2014/main" id="{4E3FE77C-6320-BE41-BBD4-96E24B1B7611}"/>
            </a:ext>
          </a:extLst>
        </xdr:cNvPr>
        <xdr:cNvSpPr/>
      </xdr:nvSpPr>
      <xdr:spPr>
        <a:xfrm>
          <a:off x="473221" y="2590800"/>
          <a:ext cx="1308687" cy="1083618"/>
        </a:xfrm>
        <a:custGeom>
          <a:avLst/>
          <a:gdLst/>
          <a:ahLst/>
          <a:cxnLst/>
          <a:rect l="l" t="t" r="r" b="b"/>
          <a:pathLst>
            <a:path w="1868421" h="1375297">
              <a:moveTo>
                <a:pt x="0" y="0"/>
              </a:moveTo>
              <a:lnTo>
                <a:pt x="1868421" y="0"/>
              </a:lnTo>
              <a:lnTo>
                <a:pt x="1868421" y="1375298"/>
              </a:lnTo>
              <a:lnTo>
                <a:pt x="0" y="1375298"/>
              </a:lnTo>
              <a:lnTo>
                <a:pt x="0" y="0"/>
              </a:lnTo>
              <a:close/>
            </a:path>
          </a:pathLst>
        </a:custGeom>
        <a:blipFill>
          <a:blip xmlns:r="http://schemas.openxmlformats.org/officeDocument/2006/relationships" r:embed="rId2"/>
          <a:stretch>
            <a:fillRect r="-151291"/>
          </a:stretch>
        </a:blipFill>
      </xdr:spPr>
      <xdr:txBody>
        <a:bodyPr wrap="square"/>
        <a:lstStyle/>
        <a:p>
          <a:endParaRPr lang="pt-BR"/>
        </a:p>
      </xdr:txBody>
    </xdr:sp>
    <xdr:clientData/>
  </xdr:twoCellAnchor>
  <xdr:twoCellAnchor editAs="oneCell">
    <xdr:from>
      <xdr:col>1</xdr:col>
      <xdr:colOff>176045</xdr:colOff>
      <xdr:row>4</xdr:row>
      <xdr:rowOff>208527</xdr:rowOff>
    </xdr:from>
    <xdr:to>
      <xdr:col>2</xdr:col>
      <xdr:colOff>1269349</xdr:colOff>
      <xdr:row>4</xdr:row>
      <xdr:rowOff>1066881</xdr:rowOff>
    </xdr:to>
    <xdr:pic>
      <xdr:nvPicPr>
        <xdr:cNvPr id="6" name="Google Shape;103;p1">
          <a:extLst>
            <a:ext uri="{FF2B5EF4-FFF2-40B4-BE49-F238E27FC236}">
              <a16:creationId xmlns:a16="http://schemas.microsoft.com/office/drawing/2014/main" id="{9F1AF177-2962-AF2F-2ACD-B5BE4ECEF311}"/>
            </a:ext>
          </a:extLst>
        </xdr:cNvPr>
        <xdr:cNvPicPr preferRelativeResize="0"/>
      </xdr:nvPicPr>
      <xdr:blipFill rotWithShape="1">
        <a:blip xmlns:r="http://schemas.openxmlformats.org/officeDocument/2006/relationships" r:embed="rId3">
          <a:alphaModFix/>
        </a:blip>
        <a:srcRect/>
        <a:stretch/>
      </xdr:blipFill>
      <xdr:spPr>
        <a:xfrm>
          <a:off x="176045" y="1472551"/>
          <a:ext cx="1711869" cy="85835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Paulo Yida ARGOS" id="{E0CCE019-92C4-494A-A1ED-8FE67476424E}" userId="4d8dfa31a15de423"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12" dT="2025-05-28T23:13:48.66" personId="{E0CCE019-92C4-494A-A1ED-8FE67476424E}" id="{8636417F-FD8D-4DA8-8FCD-B9FDD70BC190}">
    <text>Era 02.02</text>
  </threadedComment>
  <threadedComment ref="I15" dT="2025-05-28T23:14:27.35" personId="{E0CCE019-92C4-494A-A1ED-8FE67476424E}" id="{10AD0C7C-B074-4084-97DC-6880E31DB569}">
    <text>Era 02.03</text>
  </threadedComment>
  <threadedComment ref="I18" dT="2025-05-28T23:15:03.38" personId="{E0CCE019-92C4-494A-A1ED-8FE67476424E}" id="{22A25B0F-92FB-4AD1-A754-4ADA5B41EF4C}">
    <text>Era 02.05</text>
  </threadedComment>
  <threadedComment ref="I21" dT="2025-05-28T23:15:54.63" personId="{E0CCE019-92C4-494A-A1ED-8FE67476424E}" id="{5E07D25C-83CD-4E91-ACDE-3F221A7D6894}">
    <text>Era 02.06</text>
  </threadedComment>
  <threadedComment ref="I24" dT="2025-05-28T23:18:22.17" personId="{E0CCE019-92C4-494A-A1ED-8FE67476424E}" id="{FD43FC70-E234-4576-92DC-7D9814BE9F7B}">
    <text>Era 02.07</text>
  </threadedComment>
  <threadedComment ref="I30" dT="2025-05-28T23:18:51.88" personId="{E0CCE019-92C4-494A-A1ED-8FE67476424E}" id="{93FBED95-C0C9-48B7-AC4E-D119126C811B}">
    <text>Era 02.08</text>
  </threadedComment>
  <threadedComment ref="I33" dT="2025-05-28T23:19:14.93" personId="{E0CCE019-92C4-494A-A1ED-8FE67476424E}" id="{82012922-B974-4F24-8AAC-317189376FB3}">
    <text>Era 02.09</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4" Type="http://schemas.openxmlformats.org/officeDocument/2006/relationships/comments" Target="../comments8.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1.xml"/><Relationship Id="rId1" Type="http://schemas.openxmlformats.org/officeDocument/2006/relationships/printerSettings" Target="../printerSettings/printerSettings12.bin"/><Relationship Id="rId5" Type="http://schemas.microsoft.com/office/2017/10/relationships/threadedComment" Target="../threadedComments/threadedComment1.xml"/><Relationship Id="rId4" Type="http://schemas.openxmlformats.org/officeDocument/2006/relationships/comments" Target="../comments10.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4">
    <tabColor rgb="FF75BAFF"/>
    <pageSetUpPr fitToPage="1"/>
  </sheetPr>
  <dimension ref="A1:W788"/>
  <sheetViews>
    <sheetView topLeftCell="B1" zoomScale="80" zoomScaleNormal="80" zoomScalePageLayoutView="80" workbookViewId="0">
      <pane ySplit="2" topLeftCell="A3" activePane="bottomLeft" state="frozen"/>
      <selection activeCell="B8" sqref="B8"/>
      <selection pane="bottomLeft" activeCell="B8" sqref="B8"/>
    </sheetView>
  </sheetViews>
  <sheetFormatPr defaultColWidth="2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23" width="28.54296875" style="3"/>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6</v>
      </c>
      <c r="M4" s="383"/>
      <c r="N4" s="383"/>
      <c r="O4" s="384"/>
      <c r="P4" s="382" t="s">
        <v>6</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0</v>
      </c>
      <c r="I8" s="360"/>
      <c r="J8" s="363" t="s">
        <v>6</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28"/>
      <c r="B10" s="16"/>
      <c r="C10"/>
      <c r="D10" s="376"/>
      <c r="E10" s="325" t="e">
        <f ca="1">HYPERLINK("#B"&amp;TEXT($A$3+$A$4*((ROW()-$A$5)/2),"##"),LEFT($L$2,5)&amp;"."&amp;TEXT((ROW()-$A$5)/2,"0#"))</f>
        <v>#NAME?</v>
      </c>
      <c r="F10" s="343" t="s">
        <v>19</v>
      </c>
      <c r="G10" s="344" t="s">
        <v>20</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28"/>
      <c r="B11" s="16"/>
      <c r="C11"/>
      <c r="D11" s="376"/>
      <c r="E11" s="326"/>
      <c r="F11" s="306"/>
      <c r="G11" s="308"/>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t="s">
        <v>23</v>
      </c>
      <c r="G12" s="307" t="s">
        <v>24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t="s">
        <v>27</v>
      </c>
      <c r="G14" s="307" t="s">
        <v>28</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t="s">
        <v>31</v>
      </c>
      <c r="G16" s="307" t="s">
        <v>32</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306"/>
      <c r="G17" s="308"/>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306" t="s">
        <v>33</v>
      </c>
      <c r="G18" s="307" t="s">
        <v>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306"/>
      <c r="G19" s="308"/>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306" t="s">
        <v>35</v>
      </c>
      <c r="G20" s="307" t="s">
        <v>36</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306"/>
      <c r="G21" s="308"/>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306" t="s">
        <v>38</v>
      </c>
      <c r="G22" s="307" t="s">
        <v>39</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306"/>
      <c r="G23" s="308"/>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306" t="s">
        <v>41</v>
      </c>
      <c r="G24" s="307" t="s">
        <v>42</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306"/>
      <c r="G25" s="308"/>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7" x14ac:dyDescent="0.45">
      <c r="A55" s="17" t="s">
        <v>57</v>
      </c>
      <c r="C55"/>
      <c r="D55" s="240" t="s">
        <v>1</v>
      </c>
      <c r="E55" s="241"/>
      <c r="F55" s="241"/>
      <c r="G55" s="291"/>
      <c r="H55" s="292" t="s">
        <v>2</v>
      </c>
      <c r="I55" s="241"/>
      <c r="J55" s="291"/>
      <c r="K55" s="292" t="s">
        <v>3</v>
      </c>
      <c r="L55" s="241"/>
      <c r="M55" s="241"/>
      <c r="N55" s="241" t="s">
        <v>58</v>
      </c>
      <c r="O55" s="241"/>
      <c r="P55" s="291"/>
      <c r="Q55" s="293" t="s">
        <v>13</v>
      </c>
      <c r="R55" s="293"/>
      <c r="S55" s="294"/>
      <c r="T55" s="14"/>
    </row>
    <row r="56" spans="1:22" ht="26.25" customHeight="1" x14ac:dyDescent="0.35">
      <c r="A56" s="17" t="s">
        <v>57</v>
      </c>
      <c r="C56"/>
      <c r="D56" s="229" t="e">
        <f>$D$4</f>
        <v>#REF!</v>
      </c>
      <c r="E56" s="230"/>
      <c r="F56" s="230"/>
      <c r="G56" s="230"/>
      <c r="H56" s="231" t="e">
        <f>$F$4</f>
        <v>#REF!</v>
      </c>
      <c r="I56" s="230"/>
      <c r="J56" s="232"/>
      <c r="K56" s="233" t="str">
        <f ca="1">OFFSET($G$7,2*(D53+1)-1,0)</f>
        <v>A</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6"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75" customHeight="1"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26.25" customHeight="1" thickBot="1" x14ac:dyDescent="0.4">
      <c r="A104" s="17" t="s">
        <v>57</v>
      </c>
      <c r="B104" s="9"/>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8" x14ac:dyDescent="0.55000000000000004">
      <c r="A105" s="17" t="s">
        <v>57</v>
      </c>
      <c r="B105" s="10"/>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8" x14ac:dyDescent="0.55000000000000004">
      <c r="A106" s="17" t="s">
        <v>57</v>
      </c>
      <c r="B106" s="10"/>
      <c r="C106"/>
      <c r="D106" s="229" t="e">
        <f>$D$4</f>
        <v>#REF!</v>
      </c>
      <c r="E106" s="230"/>
      <c r="F106" s="230"/>
      <c r="G106" s="230"/>
      <c r="H106" s="231" t="e">
        <f>$F$4</f>
        <v>#REF!</v>
      </c>
      <c r="I106" s="230"/>
      <c r="J106" s="232"/>
      <c r="K106" s="233" t="str">
        <f ca="1">OFFSET($G$7,2*(D103+1)-1,0)</f>
        <v>B</v>
      </c>
      <c r="L106" s="234"/>
      <c r="M106" s="235"/>
      <c r="N106" s="236" t="s">
        <v>6</v>
      </c>
      <c r="O106" s="237"/>
      <c r="P106" s="238"/>
      <c r="Q106" s="236" t="s">
        <v>6</v>
      </c>
      <c r="R106" s="237"/>
      <c r="S106" s="239"/>
    </row>
    <row r="107" spans="1:22" ht="28.5" thickBot="1" x14ac:dyDescent="0.6">
      <c r="A107" s="17" t="s">
        <v>57</v>
      </c>
      <c r="B107" s="10"/>
      <c r="C107"/>
      <c r="D107" s="240" t="s">
        <v>7</v>
      </c>
      <c r="E107" s="241"/>
      <c r="F107" s="241"/>
      <c r="G107" s="241"/>
      <c r="H107" s="241"/>
      <c r="I107" s="241"/>
      <c r="J107" s="241"/>
      <c r="K107" s="241"/>
      <c r="L107" s="241"/>
      <c r="M107" s="241"/>
      <c r="N107" s="241"/>
      <c r="O107" s="241"/>
      <c r="P107" s="241"/>
      <c r="Q107" s="241"/>
      <c r="R107" s="241"/>
      <c r="S107" s="242"/>
    </row>
    <row r="108" spans="1:22" ht="28" x14ac:dyDescent="0.55000000000000004">
      <c r="A108" s="17" t="s">
        <v>57</v>
      </c>
      <c r="B108" s="10"/>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8.5" customHeight="1" thickBot="1" x14ac:dyDescent="0.6">
      <c r="A109" s="17" t="s">
        <v>57</v>
      </c>
      <c r="B109" s="10"/>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 thickBot="1" x14ac:dyDescent="0.4">
      <c r="A110" s="8" t="s">
        <v>75</v>
      </c>
      <c r="B110" s="8"/>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75" customHeight="1" thickBot="1" x14ac:dyDescent="0.4">
      <c r="A111" s="8" t="s">
        <v>75</v>
      </c>
      <c r="B111" s="8"/>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B112" s="8"/>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B113" s="8"/>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15.7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x14ac:dyDescent="0.35">
      <c r="A128" s="5" t="s">
        <v>75</v>
      </c>
      <c r="C128"/>
      <c r="D128" s="256"/>
      <c r="E128" s="257"/>
      <c r="F128" s="261"/>
      <c r="G128" s="257"/>
      <c r="H128" s="261"/>
      <c r="I128" s="265"/>
      <c r="J128" s="265"/>
      <c r="K128" s="265"/>
      <c r="L128" s="265"/>
      <c r="M128" s="265"/>
      <c r="N128" s="265"/>
      <c r="O128" s="257"/>
      <c r="P128" s="270"/>
      <c r="Q128" s="283"/>
      <c r="R128" s="270"/>
      <c r="S128" s="280"/>
    </row>
    <row r="129" spans="1:19"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5"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x14ac:dyDescent="0.35">
      <c r="A132" s="5" t="s">
        <v>75</v>
      </c>
      <c r="C132"/>
      <c r="D132" s="256"/>
      <c r="E132" s="257"/>
      <c r="F132" s="261"/>
      <c r="G132" s="257"/>
      <c r="H132" s="261"/>
      <c r="I132" s="265"/>
      <c r="J132" s="265"/>
      <c r="K132" s="265"/>
      <c r="L132" s="265"/>
      <c r="M132" s="265"/>
      <c r="N132" s="265"/>
      <c r="O132" s="257"/>
      <c r="P132" s="270"/>
      <c r="Q132" s="271"/>
      <c r="R132" s="270"/>
      <c r="S132" s="280"/>
    </row>
    <row r="133" spans="1:19"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5"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x14ac:dyDescent="0.35">
      <c r="A136" s="5" t="s">
        <v>75</v>
      </c>
      <c r="C136"/>
      <c r="D136" s="256"/>
      <c r="E136" s="257"/>
      <c r="F136" s="261"/>
      <c r="G136" s="257"/>
      <c r="H136" s="261"/>
      <c r="I136" s="265"/>
      <c r="J136" s="265"/>
      <c r="K136" s="265"/>
      <c r="L136" s="265"/>
      <c r="M136" s="265"/>
      <c r="N136" s="265"/>
      <c r="O136" s="257"/>
      <c r="P136" s="270"/>
      <c r="Q136" s="271"/>
      <c r="R136" s="270"/>
      <c r="S136" s="280"/>
    </row>
    <row r="137" spans="1:19"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5"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26.25" customHeight="1" thickBot="1" x14ac:dyDescent="0.4">
      <c r="A154" s="17" t="s">
        <v>57</v>
      </c>
      <c r="B154" s="9"/>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8" x14ac:dyDescent="0.55000000000000004">
      <c r="A155" s="17" t="s">
        <v>57</v>
      </c>
      <c r="B155" s="10"/>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8" x14ac:dyDescent="0.55000000000000004">
      <c r="A156" s="17" t="s">
        <v>57</v>
      </c>
      <c r="B156" s="10"/>
      <c r="C156"/>
      <c r="D156" s="229" t="e">
        <f>$D$4</f>
        <v>#REF!</v>
      </c>
      <c r="E156" s="230"/>
      <c r="F156" s="230"/>
      <c r="G156" s="230"/>
      <c r="H156" s="231" t="e">
        <f>$F$4</f>
        <v>#REF!</v>
      </c>
      <c r="I156" s="230"/>
      <c r="J156" s="232"/>
      <c r="K156" s="233" t="str">
        <f ca="1">OFFSET($G$7,2*(D153+1)-1,0)</f>
        <v>C</v>
      </c>
      <c r="L156" s="234"/>
      <c r="M156" s="235"/>
      <c r="N156" s="236" t="s">
        <v>6</v>
      </c>
      <c r="O156" s="237"/>
      <c r="P156" s="238"/>
      <c r="Q156" s="236" t="s">
        <v>6</v>
      </c>
      <c r="R156" s="237"/>
      <c r="S156" s="239"/>
    </row>
    <row r="157" spans="1:22" ht="28.5" thickBot="1" x14ac:dyDescent="0.6">
      <c r="A157" s="17" t="s">
        <v>57</v>
      </c>
      <c r="B157" s="10"/>
      <c r="C157"/>
      <c r="D157" s="240" t="s">
        <v>7</v>
      </c>
      <c r="E157" s="241"/>
      <c r="F157" s="241"/>
      <c r="G157" s="241"/>
      <c r="H157" s="241"/>
      <c r="I157" s="241"/>
      <c r="J157" s="241"/>
      <c r="K157" s="241"/>
      <c r="L157" s="241"/>
      <c r="M157" s="241"/>
      <c r="N157" s="241"/>
      <c r="O157" s="241"/>
      <c r="P157" s="241"/>
      <c r="Q157" s="241"/>
      <c r="R157" s="241"/>
      <c r="S157" s="242"/>
    </row>
    <row r="158" spans="1:22" ht="28" x14ac:dyDescent="0.55000000000000004">
      <c r="A158" s="17" t="s">
        <v>57</v>
      </c>
      <c r="B158" s="10"/>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8.5" customHeight="1" thickBot="1" x14ac:dyDescent="0.6">
      <c r="A159" s="17" t="s">
        <v>57</v>
      </c>
      <c r="B159" s="10"/>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 thickBot="1" x14ac:dyDescent="0.4">
      <c r="A160" s="8" t="s">
        <v>75</v>
      </c>
      <c r="B160" s="8"/>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75" customHeight="1" thickBot="1" x14ac:dyDescent="0.4">
      <c r="A161" s="8" t="s">
        <v>75</v>
      </c>
      <c r="B161" s="8"/>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B162" s="8"/>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B163" s="8"/>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15.7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x14ac:dyDescent="0.35">
      <c r="A178" s="5" t="s">
        <v>75</v>
      </c>
      <c r="C178"/>
      <c r="D178" s="256"/>
      <c r="E178" s="257"/>
      <c r="F178" s="261"/>
      <c r="G178" s="257"/>
      <c r="H178" s="261"/>
      <c r="I178" s="265"/>
      <c r="J178" s="265"/>
      <c r="K178" s="265"/>
      <c r="L178" s="265"/>
      <c r="M178" s="265"/>
      <c r="N178" s="265"/>
      <c r="O178" s="257"/>
      <c r="P178" s="270"/>
      <c r="Q178" s="283"/>
      <c r="R178" s="270"/>
      <c r="S178" s="280"/>
    </row>
    <row r="179" spans="1:19"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5"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x14ac:dyDescent="0.35">
      <c r="A182" s="5" t="s">
        <v>75</v>
      </c>
      <c r="C182"/>
      <c r="D182" s="256"/>
      <c r="E182" s="257"/>
      <c r="F182" s="261"/>
      <c r="G182" s="257"/>
      <c r="H182" s="261"/>
      <c r="I182" s="265"/>
      <c r="J182" s="265"/>
      <c r="K182" s="265"/>
      <c r="L182" s="265"/>
      <c r="M182" s="265"/>
      <c r="N182" s="265"/>
      <c r="O182" s="257"/>
      <c r="P182" s="270"/>
      <c r="Q182" s="271"/>
      <c r="R182" s="270"/>
      <c r="S182" s="280"/>
    </row>
    <row r="183" spans="1:19"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5"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x14ac:dyDescent="0.35">
      <c r="A186" s="5" t="s">
        <v>75</v>
      </c>
      <c r="C186"/>
      <c r="D186" s="256"/>
      <c r="E186" s="257"/>
      <c r="F186" s="261"/>
      <c r="G186" s="257"/>
      <c r="H186" s="261"/>
      <c r="I186" s="265"/>
      <c r="J186" s="265"/>
      <c r="K186" s="265"/>
      <c r="L186" s="265"/>
      <c r="M186" s="265"/>
      <c r="N186" s="265"/>
      <c r="O186" s="257"/>
      <c r="P186" s="270"/>
      <c r="Q186" s="271"/>
      <c r="R186" s="270"/>
      <c r="S186" s="280"/>
    </row>
    <row r="187" spans="1:19"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5"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26.25" customHeight="1" thickBot="1" x14ac:dyDescent="0.4">
      <c r="A204" s="17" t="s">
        <v>57</v>
      </c>
      <c r="B204" s="9"/>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8" x14ac:dyDescent="0.55000000000000004">
      <c r="A205" s="17" t="s">
        <v>57</v>
      </c>
      <c r="B205" s="10"/>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8" x14ac:dyDescent="0.55000000000000004">
      <c r="A206" s="17" t="s">
        <v>57</v>
      </c>
      <c r="B206" s="10"/>
      <c r="C206"/>
      <c r="D206" s="229" t="e">
        <f>$D$4</f>
        <v>#REF!</v>
      </c>
      <c r="E206" s="230"/>
      <c r="F206" s="230"/>
      <c r="G206" s="230"/>
      <c r="H206" s="231" t="e">
        <f>$F$4</f>
        <v>#REF!</v>
      </c>
      <c r="I206" s="230"/>
      <c r="J206" s="232"/>
      <c r="K206" s="233" t="str">
        <f ca="1">OFFSET($G$7,2*(D203+1)-1,0)</f>
        <v>D</v>
      </c>
      <c r="L206" s="234"/>
      <c r="M206" s="235"/>
      <c r="N206" s="236" t="s">
        <v>6</v>
      </c>
      <c r="O206" s="237"/>
      <c r="P206" s="238"/>
      <c r="Q206" s="236" t="s">
        <v>6</v>
      </c>
      <c r="R206" s="237"/>
      <c r="S206" s="239"/>
    </row>
    <row r="207" spans="1:22" ht="28.5" thickBot="1" x14ac:dyDescent="0.6">
      <c r="A207" s="17" t="s">
        <v>57</v>
      </c>
      <c r="B207" s="10"/>
      <c r="C207"/>
      <c r="D207" s="240" t="s">
        <v>7</v>
      </c>
      <c r="E207" s="241"/>
      <c r="F207" s="241"/>
      <c r="G207" s="241"/>
      <c r="H207" s="241"/>
      <c r="I207" s="241"/>
      <c r="J207" s="241"/>
      <c r="K207" s="241"/>
      <c r="L207" s="241"/>
      <c r="M207" s="241"/>
      <c r="N207" s="241"/>
      <c r="O207" s="241"/>
      <c r="P207" s="241"/>
      <c r="Q207" s="241"/>
      <c r="R207" s="241"/>
      <c r="S207" s="242"/>
    </row>
    <row r="208" spans="1:22" ht="28" x14ac:dyDescent="0.55000000000000004">
      <c r="A208" s="17" t="s">
        <v>57</v>
      </c>
      <c r="B208" s="10"/>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8.5" customHeight="1" thickBot="1" x14ac:dyDescent="0.6">
      <c r="A209" s="17" t="s">
        <v>57</v>
      </c>
      <c r="B209" s="10"/>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 thickBot="1" x14ac:dyDescent="0.4">
      <c r="A210" s="8" t="s">
        <v>75</v>
      </c>
      <c r="B210" s="8"/>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75" customHeight="1" thickBot="1" x14ac:dyDescent="0.4">
      <c r="A211" s="8" t="s">
        <v>75</v>
      </c>
      <c r="B211" s="8"/>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B212" s="8"/>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B213" s="8"/>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15.7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x14ac:dyDescent="0.35">
      <c r="A228" s="5" t="s">
        <v>75</v>
      </c>
      <c r="C228"/>
      <c r="D228" s="256"/>
      <c r="E228" s="257"/>
      <c r="F228" s="261"/>
      <c r="G228" s="257"/>
      <c r="H228" s="261"/>
      <c r="I228" s="265"/>
      <c r="J228" s="265"/>
      <c r="K228" s="265"/>
      <c r="L228" s="265"/>
      <c r="M228" s="265"/>
      <c r="N228" s="265"/>
      <c r="O228" s="257"/>
      <c r="P228" s="270"/>
      <c r="Q228" s="283"/>
      <c r="R228" s="270"/>
      <c r="S228" s="280"/>
    </row>
    <row r="229" spans="1:19"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5"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x14ac:dyDescent="0.35">
      <c r="A232" s="5" t="s">
        <v>75</v>
      </c>
      <c r="C232"/>
      <c r="D232" s="256"/>
      <c r="E232" s="257"/>
      <c r="F232" s="261"/>
      <c r="G232" s="257"/>
      <c r="H232" s="261"/>
      <c r="I232" s="265"/>
      <c r="J232" s="265"/>
      <c r="K232" s="265"/>
      <c r="L232" s="265"/>
      <c r="M232" s="265"/>
      <c r="N232" s="265"/>
      <c r="O232" s="257"/>
      <c r="P232" s="270"/>
      <c r="Q232" s="271"/>
      <c r="R232" s="270"/>
      <c r="S232" s="280"/>
    </row>
    <row r="233" spans="1:19"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5"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x14ac:dyDescent="0.35">
      <c r="A236" s="5" t="s">
        <v>75</v>
      </c>
      <c r="C236"/>
      <c r="D236" s="256"/>
      <c r="E236" s="257"/>
      <c r="F236" s="261"/>
      <c r="G236" s="257"/>
      <c r="H236" s="261"/>
      <c r="I236" s="265"/>
      <c r="J236" s="265"/>
      <c r="K236" s="265"/>
      <c r="L236" s="265"/>
      <c r="M236" s="265"/>
      <c r="N236" s="265"/>
      <c r="O236" s="257"/>
      <c r="P236" s="270"/>
      <c r="Q236" s="271"/>
      <c r="R236" s="270"/>
      <c r="S236" s="280"/>
    </row>
    <row r="237" spans="1:19"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5"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26.25" customHeight="1" thickBot="1" x14ac:dyDescent="0.4">
      <c r="A254" s="17" t="s">
        <v>57</v>
      </c>
      <c r="B254" s="9"/>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8" x14ac:dyDescent="0.55000000000000004">
      <c r="A255" s="17" t="s">
        <v>57</v>
      </c>
      <c r="B255" s="10"/>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8" x14ac:dyDescent="0.55000000000000004">
      <c r="A256" s="17" t="s">
        <v>57</v>
      </c>
      <c r="B256" s="10"/>
      <c r="C256"/>
      <c r="D256" s="229" t="e">
        <f>$D$4</f>
        <v>#REF!</v>
      </c>
      <c r="E256" s="230"/>
      <c r="F256" s="230"/>
      <c r="G256" s="230"/>
      <c r="H256" s="231" t="e">
        <f>$F$4</f>
        <v>#REF!</v>
      </c>
      <c r="I256" s="230"/>
      <c r="J256" s="232"/>
      <c r="K256" s="233" t="str">
        <f ca="1">OFFSET($G$7,2*(D253+1)-1,0)</f>
        <v>E</v>
      </c>
      <c r="L256" s="234"/>
      <c r="M256" s="235"/>
      <c r="N256" s="236" t="s">
        <v>6</v>
      </c>
      <c r="O256" s="237"/>
      <c r="P256" s="238"/>
      <c r="Q256" s="236" t="s">
        <v>6</v>
      </c>
      <c r="R256" s="237"/>
      <c r="S256" s="239"/>
    </row>
    <row r="257" spans="1:22" ht="28.5" thickBot="1" x14ac:dyDescent="0.6">
      <c r="A257" s="17" t="s">
        <v>57</v>
      </c>
      <c r="B257" s="10"/>
      <c r="C257"/>
      <c r="D257" s="240" t="s">
        <v>7</v>
      </c>
      <c r="E257" s="241"/>
      <c r="F257" s="241"/>
      <c r="G257" s="241"/>
      <c r="H257" s="241"/>
      <c r="I257" s="241"/>
      <c r="J257" s="241"/>
      <c r="K257" s="241"/>
      <c r="L257" s="241"/>
      <c r="M257" s="241"/>
      <c r="N257" s="241"/>
      <c r="O257" s="241"/>
      <c r="P257" s="241"/>
      <c r="Q257" s="241"/>
      <c r="R257" s="241"/>
      <c r="S257" s="242"/>
    </row>
    <row r="258" spans="1:22" ht="28" x14ac:dyDescent="0.55000000000000004">
      <c r="A258" s="17" t="s">
        <v>57</v>
      </c>
      <c r="B258" s="10"/>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8.5" customHeight="1" thickBot="1" x14ac:dyDescent="0.6">
      <c r="A259" s="17" t="s">
        <v>57</v>
      </c>
      <c r="B259" s="10"/>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 thickBot="1" x14ac:dyDescent="0.4">
      <c r="A260" s="8" t="s">
        <v>75</v>
      </c>
      <c r="B260" s="8"/>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75" customHeight="1" thickBot="1" x14ac:dyDescent="0.4">
      <c r="A261" s="8" t="s">
        <v>75</v>
      </c>
      <c r="B261" s="8"/>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B262" s="8"/>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B263" s="8"/>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15.7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x14ac:dyDescent="0.35">
      <c r="A278" s="5" t="s">
        <v>75</v>
      </c>
      <c r="C278"/>
      <c r="D278" s="256"/>
      <c r="E278" s="257"/>
      <c r="F278" s="261"/>
      <c r="G278" s="257"/>
      <c r="H278" s="261"/>
      <c r="I278" s="265"/>
      <c r="J278" s="265"/>
      <c r="K278" s="265"/>
      <c r="L278" s="265"/>
      <c r="M278" s="265"/>
      <c r="N278" s="265"/>
      <c r="O278" s="257"/>
      <c r="P278" s="270"/>
      <c r="Q278" s="283"/>
      <c r="R278" s="270"/>
      <c r="S278" s="280"/>
    </row>
    <row r="279" spans="1:19"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5"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x14ac:dyDescent="0.35">
      <c r="A282" s="5" t="s">
        <v>75</v>
      </c>
      <c r="C282"/>
      <c r="D282" s="256"/>
      <c r="E282" s="257"/>
      <c r="F282" s="261"/>
      <c r="G282" s="257"/>
      <c r="H282" s="261"/>
      <c r="I282" s="265"/>
      <c r="J282" s="265"/>
      <c r="K282" s="265"/>
      <c r="L282" s="265"/>
      <c r="M282" s="265"/>
      <c r="N282" s="265"/>
      <c r="O282" s="257"/>
      <c r="P282" s="270"/>
      <c r="Q282" s="271"/>
      <c r="R282" s="270"/>
      <c r="S282" s="280"/>
    </row>
    <row r="283" spans="1:19"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5"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x14ac:dyDescent="0.35">
      <c r="A286" s="5" t="s">
        <v>75</v>
      </c>
      <c r="C286"/>
      <c r="D286" s="256"/>
      <c r="E286" s="257"/>
      <c r="F286" s="261"/>
      <c r="G286" s="257"/>
      <c r="H286" s="261"/>
      <c r="I286" s="265"/>
      <c r="J286" s="265"/>
      <c r="K286" s="265"/>
      <c r="L286" s="265"/>
      <c r="M286" s="265"/>
      <c r="N286" s="265"/>
      <c r="O286" s="257"/>
      <c r="P286" s="270"/>
      <c r="Q286" s="271"/>
      <c r="R286" s="270"/>
      <c r="S286" s="280"/>
    </row>
    <row r="287" spans="1:19"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5"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26.25" customHeight="1" thickBot="1" x14ac:dyDescent="0.4">
      <c r="A304" s="17" t="s">
        <v>57</v>
      </c>
      <c r="B304" s="9"/>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8" x14ac:dyDescent="0.55000000000000004">
      <c r="A305" s="17" t="s">
        <v>57</v>
      </c>
      <c r="B305" s="10"/>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8" x14ac:dyDescent="0.55000000000000004">
      <c r="A306" s="17" t="s">
        <v>57</v>
      </c>
      <c r="B306" s="10"/>
      <c r="C306"/>
      <c r="D306" s="229" t="e">
        <f>$D$4</f>
        <v>#REF!</v>
      </c>
      <c r="E306" s="230"/>
      <c r="F306" s="230"/>
      <c r="G306" s="230"/>
      <c r="H306" s="231" t="e">
        <f>$F$4</f>
        <v>#REF!</v>
      </c>
      <c r="I306" s="230"/>
      <c r="J306" s="232"/>
      <c r="K306" s="233" t="str">
        <f ca="1">OFFSET($G$7,2*(D303+1)-1,0)</f>
        <v>F</v>
      </c>
      <c r="L306" s="234"/>
      <c r="M306" s="235"/>
      <c r="N306" s="236" t="s">
        <v>6</v>
      </c>
      <c r="O306" s="237"/>
      <c r="P306" s="238"/>
      <c r="Q306" s="236" t="s">
        <v>6</v>
      </c>
      <c r="R306" s="237"/>
      <c r="S306" s="239"/>
    </row>
    <row r="307" spans="1:22" ht="28.5" thickBot="1" x14ac:dyDescent="0.6">
      <c r="A307" s="17" t="s">
        <v>57</v>
      </c>
      <c r="B307" s="10"/>
      <c r="C307"/>
      <c r="D307" s="240" t="s">
        <v>7</v>
      </c>
      <c r="E307" s="241"/>
      <c r="F307" s="241"/>
      <c r="G307" s="241"/>
      <c r="H307" s="241"/>
      <c r="I307" s="241"/>
      <c r="J307" s="241"/>
      <c r="K307" s="241"/>
      <c r="L307" s="241"/>
      <c r="M307" s="241"/>
      <c r="N307" s="241"/>
      <c r="O307" s="241"/>
      <c r="P307" s="241"/>
      <c r="Q307" s="241"/>
      <c r="R307" s="241"/>
      <c r="S307" s="242"/>
    </row>
    <row r="308" spans="1:22" ht="28" x14ac:dyDescent="0.55000000000000004">
      <c r="A308" s="17" t="s">
        <v>57</v>
      </c>
      <c r="B308" s="10"/>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8.5" customHeight="1" thickBot="1" x14ac:dyDescent="0.6">
      <c r="A309" s="17" t="s">
        <v>57</v>
      </c>
      <c r="B309" s="10"/>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 thickBot="1" x14ac:dyDescent="0.4">
      <c r="A310" s="8" t="s">
        <v>75</v>
      </c>
      <c r="B310" s="8"/>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75" customHeight="1" thickBot="1" x14ac:dyDescent="0.4">
      <c r="A311" s="8" t="s">
        <v>75</v>
      </c>
      <c r="B311" s="8"/>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B312" s="8"/>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B313" s="8"/>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15.7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x14ac:dyDescent="0.35">
      <c r="A328" s="5" t="s">
        <v>75</v>
      </c>
      <c r="C328"/>
      <c r="D328" s="256"/>
      <c r="E328" s="257"/>
      <c r="F328" s="261"/>
      <c r="G328" s="257"/>
      <c r="H328" s="261"/>
      <c r="I328" s="265"/>
      <c r="J328" s="265"/>
      <c r="K328" s="265"/>
      <c r="L328" s="265"/>
      <c r="M328" s="265"/>
      <c r="N328" s="265"/>
      <c r="O328" s="257"/>
      <c r="P328" s="270"/>
      <c r="Q328" s="283"/>
      <c r="R328" s="270"/>
      <c r="S328" s="280"/>
    </row>
    <row r="329" spans="1:19"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5"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x14ac:dyDescent="0.35">
      <c r="A332" s="5" t="s">
        <v>75</v>
      </c>
      <c r="C332"/>
      <c r="D332" s="256"/>
      <c r="E332" s="257"/>
      <c r="F332" s="261"/>
      <c r="G332" s="257"/>
      <c r="H332" s="261"/>
      <c r="I332" s="265"/>
      <c r="J332" s="265"/>
      <c r="K332" s="265"/>
      <c r="L332" s="265"/>
      <c r="M332" s="265"/>
      <c r="N332" s="265"/>
      <c r="O332" s="257"/>
      <c r="P332" s="270"/>
      <c r="Q332" s="271"/>
      <c r="R332" s="270"/>
      <c r="S332" s="280"/>
    </row>
    <row r="333" spans="1:19"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5"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x14ac:dyDescent="0.35">
      <c r="A336" s="5" t="s">
        <v>75</v>
      </c>
      <c r="C336"/>
      <c r="D336" s="256"/>
      <c r="E336" s="257"/>
      <c r="F336" s="261"/>
      <c r="G336" s="257"/>
      <c r="H336" s="261"/>
      <c r="I336" s="265"/>
      <c r="J336" s="265"/>
      <c r="K336" s="265"/>
      <c r="L336" s="265"/>
      <c r="M336" s="265"/>
      <c r="N336" s="265"/>
      <c r="O336" s="257"/>
      <c r="P336" s="270"/>
      <c r="Q336" s="271"/>
      <c r="R336" s="270"/>
      <c r="S336" s="280"/>
    </row>
    <row r="337" spans="1:19"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5"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26.25" customHeight="1" thickBot="1" x14ac:dyDescent="0.4">
      <c r="A354" s="17" t="s">
        <v>57</v>
      </c>
      <c r="B354" s="9"/>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8" x14ac:dyDescent="0.55000000000000004">
      <c r="A355" s="17" t="s">
        <v>57</v>
      </c>
      <c r="B355" s="10"/>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8" x14ac:dyDescent="0.55000000000000004">
      <c r="A356" s="17" t="s">
        <v>57</v>
      </c>
      <c r="B356" s="10"/>
      <c r="C356"/>
      <c r="D356" s="229" t="e">
        <f>$D$4</f>
        <v>#REF!</v>
      </c>
      <c r="E356" s="230"/>
      <c r="F356" s="230"/>
      <c r="G356" s="230"/>
      <c r="H356" s="231" t="e">
        <f>$F$4</f>
        <v>#REF!</v>
      </c>
      <c r="I356" s="230"/>
      <c r="J356" s="232"/>
      <c r="K356" s="233" t="str">
        <f ca="1">OFFSET($G$7,2*(D353+1)-1,0)</f>
        <v>G</v>
      </c>
      <c r="L356" s="234"/>
      <c r="M356" s="235"/>
      <c r="N356" s="236" t="s">
        <v>6</v>
      </c>
      <c r="O356" s="237"/>
      <c r="P356" s="238"/>
      <c r="Q356" s="236" t="s">
        <v>6</v>
      </c>
      <c r="R356" s="237"/>
      <c r="S356" s="239"/>
    </row>
    <row r="357" spans="1:22" ht="28.5" thickBot="1" x14ac:dyDescent="0.6">
      <c r="A357" s="17" t="s">
        <v>57</v>
      </c>
      <c r="B357" s="10"/>
      <c r="C357"/>
      <c r="D357" s="240" t="s">
        <v>7</v>
      </c>
      <c r="E357" s="241"/>
      <c r="F357" s="241"/>
      <c r="G357" s="241"/>
      <c r="H357" s="241"/>
      <c r="I357" s="241"/>
      <c r="J357" s="241"/>
      <c r="K357" s="241"/>
      <c r="L357" s="241"/>
      <c r="M357" s="241"/>
      <c r="N357" s="241"/>
      <c r="O357" s="241"/>
      <c r="P357" s="241"/>
      <c r="Q357" s="241"/>
      <c r="R357" s="241"/>
      <c r="S357" s="242"/>
    </row>
    <row r="358" spans="1:22" ht="28" x14ac:dyDescent="0.55000000000000004">
      <c r="A358" s="17" t="s">
        <v>57</v>
      </c>
      <c r="B358" s="10"/>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8.5" customHeight="1" thickBot="1" x14ac:dyDescent="0.6">
      <c r="A359" s="17" t="s">
        <v>57</v>
      </c>
      <c r="B359" s="10"/>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 thickBot="1" x14ac:dyDescent="0.4">
      <c r="A360" s="8" t="s">
        <v>75</v>
      </c>
      <c r="B360" s="8"/>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75" customHeight="1" thickBot="1" x14ac:dyDescent="0.4">
      <c r="A361" s="8" t="s">
        <v>75</v>
      </c>
      <c r="B361" s="8"/>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B362" s="8"/>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B363" s="8"/>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15.7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x14ac:dyDescent="0.35">
      <c r="A378" s="5" t="s">
        <v>75</v>
      </c>
      <c r="C378"/>
      <c r="D378" s="256"/>
      <c r="E378" s="257"/>
      <c r="F378" s="261"/>
      <c r="G378" s="257"/>
      <c r="H378" s="261"/>
      <c r="I378" s="265"/>
      <c r="J378" s="265"/>
      <c r="K378" s="265"/>
      <c r="L378" s="265"/>
      <c r="M378" s="265"/>
      <c r="N378" s="265"/>
      <c r="O378" s="257"/>
      <c r="P378" s="270"/>
      <c r="Q378" s="283"/>
      <c r="R378" s="270"/>
      <c r="S378" s="280"/>
    </row>
    <row r="379" spans="1:19"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5"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x14ac:dyDescent="0.35">
      <c r="A382" s="5" t="s">
        <v>75</v>
      </c>
      <c r="C382"/>
      <c r="D382" s="256"/>
      <c r="E382" s="257"/>
      <c r="F382" s="261"/>
      <c r="G382" s="257"/>
      <c r="H382" s="261"/>
      <c r="I382" s="265"/>
      <c r="J382" s="265"/>
      <c r="K382" s="265"/>
      <c r="L382" s="265"/>
      <c r="M382" s="265"/>
      <c r="N382" s="265"/>
      <c r="O382" s="257"/>
      <c r="P382" s="270"/>
      <c r="Q382" s="271"/>
      <c r="R382" s="270"/>
      <c r="S382" s="280"/>
    </row>
    <row r="383" spans="1:19"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5"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x14ac:dyDescent="0.35">
      <c r="A386" s="5" t="s">
        <v>75</v>
      </c>
      <c r="C386"/>
      <c r="D386" s="256"/>
      <c r="E386" s="257"/>
      <c r="F386" s="261"/>
      <c r="G386" s="257"/>
      <c r="H386" s="261"/>
      <c r="I386" s="265"/>
      <c r="J386" s="265"/>
      <c r="K386" s="265"/>
      <c r="L386" s="265"/>
      <c r="M386" s="265"/>
      <c r="N386" s="265"/>
      <c r="O386" s="257"/>
      <c r="P386" s="270"/>
      <c r="Q386" s="271"/>
      <c r="R386" s="270"/>
      <c r="S386" s="280"/>
    </row>
    <row r="387" spans="1:19"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5"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26.25" customHeight="1" thickBot="1" x14ac:dyDescent="0.4">
      <c r="A404" s="17" t="s">
        <v>57</v>
      </c>
      <c r="B404" s="9"/>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8" x14ac:dyDescent="0.55000000000000004">
      <c r="A405" s="17" t="s">
        <v>57</v>
      </c>
      <c r="B405" s="10"/>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8" x14ac:dyDescent="0.55000000000000004">
      <c r="A406" s="17" t="s">
        <v>57</v>
      </c>
      <c r="B406" s="10"/>
      <c r="C406"/>
      <c r="D406" s="229" t="e">
        <f>$D$4</f>
        <v>#REF!</v>
      </c>
      <c r="E406" s="230"/>
      <c r="F406" s="230"/>
      <c r="G406" s="230"/>
      <c r="H406" s="231" t="e">
        <f>$F$4</f>
        <v>#REF!</v>
      </c>
      <c r="I406" s="230"/>
      <c r="J406" s="232"/>
      <c r="K406" s="233" t="str">
        <f ca="1">OFFSET($G$7,2*(D403+1)-1,0)</f>
        <v>H</v>
      </c>
      <c r="L406" s="234"/>
      <c r="M406" s="235"/>
      <c r="N406" s="236" t="s">
        <v>6</v>
      </c>
      <c r="O406" s="237"/>
      <c r="P406" s="238"/>
      <c r="Q406" s="236" t="s">
        <v>6</v>
      </c>
      <c r="R406" s="237"/>
      <c r="S406" s="239"/>
    </row>
    <row r="407" spans="1:22" ht="28.5" thickBot="1" x14ac:dyDescent="0.6">
      <c r="A407" s="17" t="s">
        <v>57</v>
      </c>
      <c r="B407" s="10"/>
      <c r="C407"/>
      <c r="D407" s="240" t="s">
        <v>7</v>
      </c>
      <c r="E407" s="241"/>
      <c r="F407" s="241"/>
      <c r="G407" s="241"/>
      <c r="H407" s="241"/>
      <c r="I407" s="241"/>
      <c r="J407" s="241"/>
      <c r="K407" s="241"/>
      <c r="L407" s="241"/>
      <c r="M407" s="241"/>
      <c r="N407" s="241"/>
      <c r="O407" s="241"/>
      <c r="P407" s="241"/>
      <c r="Q407" s="241"/>
      <c r="R407" s="241"/>
      <c r="S407" s="242"/>
    </row>
    <row r="408" spans="1:22" ht="28" x14ac:dyDescent="0.55000000000000004">
      <c r="A408" s="17" t="s">
        <v>57</v>
      </c>
      <c r="B408" s="10"/>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8.5" customHeight="1" thickBot="1" x14ac:dyDescent="0.6">
      <c r="A409" s="17" t="s">
        <v>57</v>
      </c>
      <c r="B409" s="10"/>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 thickBot="1" x14ac:dyDescent="0.4">
      <c r="A410" s="8" t="s">
        <v>75</v>
      </c>
      <c r="B410" s="8"/>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75" customHeight="1" thickBot="1" x14ac:dyDescent="0.4">
      <c r="A411" s="8" t="s">
        <v>75</v>
      </c>
      <c r="B411" s="8"/>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B412" s="8"/>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B413" s="8"/>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15.7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x14ac:dyDescent="0.35">
      <c r="A428" s="5" t="s">
        <v>75</v>
      </c>
      <c r="C428"/>
      <c r="D428" s="256"/>
      <c r="E428" s="257"/>
      <c r="F428" s="261"/>
      <c r="G428" s="257"/>
      <c r="H428" s="261"/>
      <c r="I428" s="265"/>
      <c r="J428" s="265"/>
      <c r="K428" s="265"/>
      <c r="L428" s="265"/>
      <c r="M428" s="265"/>
      <c r="N428" s="265"/>
      <c r="O428" s="257"/>
      <c r="P428" s="270"/>
      <c r="Q428" s="283"/>
      <c r="R428" s="270"/>
      <c r="S428" s="280"/>
    </row>
    <row r="429" spans="1:19"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5"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x14ac:dyDescent="0.35">
      <c r="A432" s="5" t="s">
        <v>75</v>
      </c>
      <c r="C432"/>
      <c r="D432" s="256"/>
      <c r="E432" s="257"/>
      <c r="F432" s="261"/>
      <c r="G432" s="257"/>
      <c r="H432" s="261"/>
      <c r="I432" s="265"/>
      <c r="J432" s="265"/>
      <c r="K432" s="265"/>
      <c r="L432" s="265"/>
      <c r="M432" s="265"/>
      <c r="N432" s="265"/>
      <c r="O432" s="257"/>
      <c r="P432" s="270"/>
      <c r="Q432" s="271"/>
      <c r="R432" s="270"/>
      <c r="S432" s="280"/>
    </row>
    <row r="433" spans="1:19"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5"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x14ac:dyDescent="0.35">
      <c r="A436" s="5" t="s">
        <v>75</v>
      </c>
      <c r="C436"/>
      <c r="D436" s="256"/>
      <c r="E436" s="257"/>
      <c r="F436" s="261"/>
      <c r="G436" s="257"/>
      <c r="H436" s="261"/>
      <c r="I436" s="265"/>
      <c r="J436" s="265"/>
      <c r="K436" s="265"/>
      <c r="L436" s="265"/>
      <c r="M436" s="265"/>
      <c r="N436" s="265"/>
      <c r="O436" s="257"/>
      <c r="P436" s="270"/>
      <c r="Q436" s="271"/>
      <c r="R436" s="270"/>
      <c r="S436" s="280"/>
    </row>
    <row r="437" spans="1:19"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5"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26.25" customHeight="1" thickBot="1" x14ac:dyDescent="0.4">
      <c r="A454" s="17" t="s">
        <v>57</v>
      </c>
      <c r="B454" s="9"/>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8" x14ac:dyDescent="0.55000000000000004">
      <c r="A455" s="17" t="s">
        <v>57</v>
      </c>
      <c r="B455" s="10"/>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8" x14ac:dyDescent="0.55000000000000004">
      <c r="A456" s="17" t="s">
        <v>57</v>
      </c>
      <c r="B456" s="10"/>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8.5" thickBot="1" x14ac:dyDescent="0.6">
      <c r="A457" s="17" t="s">
        <v>57</v>
      </c>
      <c r="B457" s="10"/>
      <c r="C457"/>
      <c r="D457" s="240" t="s">
        <v>7</v>
      </c>
      <c r="E457" s="241"/>
      <c r="F457" s="241"/>
      <c r="G457" s="241"/>
      <c r="H457" s="241"/>
      <c r="I457" s="241"/>
      <c r="J457" s="241"/>
      <c r="K457" s="241"/>
      <c r="L457" s="241"/>
      <c r="M457" s="241"/>
      <c r="N457" s="241"/>
      <c r="O457" s="241"/>
      <c r="P457" s="241"/>
      <c r="Q457" s="241"/>
      <c r="R457" s="241"/>
      <c r="S457" s="242"/>
    </row>
    <row r="458" spans="1:22" ht="28" x14ac:dyDescent="0.55000000000000004">
      <c r="A458" s="17" t="s">
        <v>57</v>
      </c>
      <c r="B458" s="10"/>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8.5" customHeight="1" thickBot="1" x14ac:dyDescent="0.6">
      <c r="A459" s="17" t="s">
        <v>57</v>
      </c>
      <c r="B459" s="10"/>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 thickBot="1" x14ac:dyDescent="0.4">
      <c r="A460" s="8" t="s">
        <v>75</v>
      </c>
      <c r="B460" s="8"/>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75" customHeight="1" thickBot="1" x14ac:dyDescent="0.4">
      <c r="A461" s="8" t="s">
        <v>75</v>
      </c>
      <c r="B461" s="8"/>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B462" s="8"/>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B463" s="8"/>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15.7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x14ac:dyDescent="0.35">
      <c r="A478" s="5" t="s">
        <v>75</v>
      </c>
      <c r="C478"/>
      <c r="D478" s="256"/>
      <c r="E478" s="257"/>
      <c r="F478" s="261"/>
      <c r="G478" s="257"/>
      <c r="H478" s="261"/>
      <c r="I478" s="265"/>
      <c r="J478" s="265"/>
      <c r="K478" s="265"/>
      <c r="L478" s="265"/>
      <c r="M478" s="265"/>
      <c r="N478" s="265"/>
      <c r="O478" s="257"/>
      <c r="P478" s="270"/>
      <c r="Q478" s="283"/>
      <c r="R478" s="270"/>
      <c r="S478" s="280"/>
    </row>
    <row r="479" spans="1:22"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5"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x14ac:dyDescent="0.35">
      <c r="A482" s="5" t="s">
        <v>75</v>
      </c>
      <c r="C482"/>
      <c r="D482" s="256"/>
      <c r="E482" s="257"/>
      <c r="F482" s="261"/>
      <c r="G482" s="257"/>
      <c r="H482" s="261"/>
      <c r="I482" s="265"/>
      <c r="J482" s="265"/>
      <c r="K482" s="265"/>
      <c r="L482" s="265"/>
      <c r="M482" s="265"/>
      <c r="N482" s="265"/>
      <c r="O482" s="257"/>
      <c r="P482" s="270"/>
      <c r="Q482" s="271"/>
      <c r="R482" s="270"/>
      <c r="S482" s="280"/>
    </row>
    <row r="483" spans="1:19"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5"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x14ac:dyDescent="0.35">
      <c r="A486" s="5" t="s">
        <v>75</v>
      </c>
      <c r="C486"/>
      <c r="D486" s="256"/>
      <c r="E486" s="257"/>
      <c r="F486" s="261"/>
      <c r="G486" s="257"/>
      <c r="H486" s="261"/>
      <c r="I486" s="265"/>
      <c r="J486" s="265"/>
      <c r="K486" s="265"/>
      <c r="L486" s="265"/>
      <c r="M486" s="265"/>
      <c r="N486" s="265"/>
      <c r="O486" s="257"/>
      <c r="P486" s="270"/>
      <c r="Q486" s="271"/>
      <c r="R486" s="270"/>
      <c r="S486" s="280"/>
    </row>
    <row r="487" spans="1:19"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5"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26.25" customHeight="1" thickBot="1" x14ac:dyDescent="0.4">
      <c r="A504" s="17" t="s">
        <v>57</v>
      </c>
      <c r="B504" s="9"/>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8" x14ac:dyDescent="0.55000000000000004">
      <c r="A505" s="17" t="s">
        <v>57</v>
      </c>
      <c r="B505" s="10"/>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8" x14ac:dyDescent="0.55000000000000004">
      <c r="A506" s="17" t="s">
        <v>57</v>
      </c>
      <c r="B506" s="10"/>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8.5" thickBot="1" x14ac:dyDescent="0.6">
      <c r="A507" s="17" t="s">
        <v>57</v>
      </c>
      <c r="B507" s="10"/>
      <c r="C507"/>
      <c r="D507" s="240" t="s">
        <v>7</v>
      </c>
      <c r="E507" s="241"/>
      <c r="F507" s="241"/>
      <c r="G507" s="241"/>
      <c r="H507" s="241"/>
      <c r="I507" s="241"/>
      <c r="J507" s="241"/>
      <c r="K507" s="241"/>
      <c r="L507" s="241"/>
      <c r="M507" s="241"/>
      <c r="N507" s="241"/>
      <c r="O507" s="241"/>
      <c r="P507" s="241"/>
      <c r="Q507" s="241"/>
      <c r="R507" s="241"/>
      <c r="S507" s="242"/>
    </row>
    <row r="508" spans="1:22" ht="28" x14ac:dyDescent="0.55000000000000004">
      <c r="A508" s="17" t="s">
        <v>57</v>
      </c>
      <c r="B508" s="10"/>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8.5" customHeight="1" thickBot="1" x14ac:dyDescent="0.6">
      <c r="A509" s="17" t="s">
        <v>57</v>
      </c>
      <c r="B509" s="10"/>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 thickBot="1" x14ac:dyDescent="0.4">
      <c r="A510" s="8" t="s">
        <v>75</v>
      </c>
      <c r="B510" s="8"/>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75" customHeight="1" thickBot="1" x14ac:dyDescent="0.4">
      <c r="A511" s="8" t="s">
        <v>75</v>
      </c>
      <c r="B511" s="8"/>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B512" s="8"/>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B513" s="8"/>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15.7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x14ac:dyDescent="0.35">
      <c r="A528" s="5" t="s">
        <v>75</v>
      </c>
      <c r="C528"/>
      <c r="D528" s="256"/>
      <c r="E528" s="257"/>
      <c r="F528" s="261"/>
      <c r="G528" s="257"/>
      <c r="H528" s="261"/>
      <c r="I528" s="265"/>
      <c r="J528" s="265"/>
      <c r="K528" s="265"/>
      <c r="L528" s="265"/>
      <c r="M528" s="265"/>
      <c r="N528" s="265"/>
      <c r="O528" s="257"/>
      <c r="P528" s="270"/>
      <c r="Q528" s="283"/>
      <c r="R528" s="270"/>
      <c r="S528" s="280"/>
    </row>
    <row r="529" spans="1:19"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5"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x14ac:dyDescent="0.35">
      <c r="A532" s="5" t="s">
        <v>75</v>
      </c>
      <c r="C532"/>
      <c r="D532" s="256"/>
      <c r="E532" s="257"/>
      <c r="F532" s="261"/>
      <c r="G532" s="257"/>
      <c r="H532" s="261"/>
      <c r="I532" s="265"/>
      <c r="J532" s="265"/>
      <c r="K532" s="265"/>
      <c r="L532" s="265"/>
      <c r="M532" s="265"/>
      <c r="N532" s="265"/>
      <c r="O532" s="257"/>
      <c r="P532" s="270"/>
      <c r="Q532" s="271"/>
      <c r="R532" s="270"/>
      <c r="S532" s="280"/>
    </row>
    <row r="533" spans="1:19"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5"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x14ac:dyDescent="0.35">
      <c r="A536" s="5" t="s">
        <v>75</v>
      </c>
      <c r="C536"/>
      <c r="D536" s="256"/>
      <c r="E536" s="257"/>
      <c r="F536" s="261"/>
      <c r="G536" s="257"/>
      <c r="H536" s="261"/>
      <c r="I536" s="265"/>
      <c r="J536" s="265"/>
      <c r="K536" s="265"/>
      <c r="L536" s="265"/>
      <c r="M536" s="265"/>
      <c r="N536" s="265"/>
      <c r="O536" s="257"/>
      <c r="P536" s="270"/>
      <c r="Q536" s="271"/>
      <c r="R536" s="270"/>
      <c r="S536" s="280"/>
    </row>
    <row r="537" spans="1:19"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5"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26.25" customHeight="1" thickBot="1" x14ac:dyDescent="0.4">
      <c r="A554" s="17" t="s">
        <v>57</v>
      </c>
      <c r="B554" s="9"/>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8" x14ac:dyDescent="0.55000000000000004">
      <c r="A555" s="17" t="s">
        <v>57</v>
      </c>
      <c r="B555" s="10"/>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8" x14ac:dyDescent="0.55000000000000004">
      <c r="A556" s="17" t="s">
        <v>57</v>
      </c>
      <c r="B556" s="10"/>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8.5" thickBot="1" x14ac:dyDescent="0.6">
      <c r="A557" s="17" t="s">
        <v>57</v>
      </c>
      <c r="B557" s="10"/>
      <c r="C557"/>
      <c r="D557" s="240" t="s">
        <v>7</v>
      </c>
      <c r="E557" s="241"/>
      <c r="F557" s="241"/>
      <c r="G557" s="241"/>
      <c r="H557" s="241"/>
      <c r="I557" s="241"/>
      <c r="J557" s="241"/>
      <c r="K557" s="241"/>
      <c r="L557" s="241"/>
      <c r="M557" s="241"/>
      <c r="N557" s="241"/>
      <c r="O557" s="241"/>
      <c r="P557" s="241"/>
      <c r="Q557" s="241"/>
      <c r="R557" s="241"/>
      <c r="S557" s="242"/>
    </row>
    <row r="558" spans="1:22" ht="28" x14ac:dyDescent="0.55000000000000004">
      <c r="A558" s="17" t="s">
        <v>57</v>
      </c>
      <c r="B558" s="10"/>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8.5" customHeight="1" thickBot="1" x14ac:dyDescent="0.6">
      <c r="A559" s="17" t="s">
        <v>57</v>
      </c>
      <c r="B559" s="10"/>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 thickBot="1" x14ac:dyDescent="0.4">
      <c r="A560" s="8" t="s">
        <v>75</v>
      </c>
      <c r="B560" s="8"/>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75" customHeight="1" thickBot="1" x14ac:dyDescent="0.4">
      <c r="A561" s="8" t="s">
        <v>75</v>
      </c>
      <c r="B561" s="8"/>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B562" s="8"/>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B563" s="8"/>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15.7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x14ac:dyDescent="0.35">
      <c r="A578" s="5" t="s">
        <v>75</v>
      </c>
      <c r="C578"/>
      <c r="D578" s="256"/>
      <c r="E578" s="257"/>
      <c r="F578" s="261"/>
      <c r="G578" s="257"/>
      <c r="H578" s="261"/>
      <c r="I578" s="265"/>
      <c r="J578" s="265"/>
      <c r="K578" s="265"/>
      <c r="L578" s="265"/>
      <c r="M578" s="265"/>
      <c r="N578" s="265"/>
      <c r="O578" s="257"/>
      <c r="P578" s="270"/>
      <c r="Q578" s="283"/>
      <c r="R578" s="270"/>
      <c r="S578" s="280"/>
    </row>
    <row r="579" spans="1:19"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5"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x14ac:dyDescent="0.35">
      <c r="A582" s="5" t="s">
        <v>75</v>
      </c>
      <c r="C582"/>
      <c r="D582" s="256"/>
      <c r="E582" s="257"/>
      <c r="F582" s="261"/>
      <c r="G582" s="257"/>
      <c r="H582" s="261"/>
      <c r="I582" s="265"/>
      <c r="J582" s="265"/>
      <c r="K582" s="265"/>
      <c r="L582" s="265"/>
      <c r="M582" s="265"/>
      <c r="N582" s="265"/>
      <c r="O582" s="257"/>
      <c r="P582" s="270"/>
      <c r="Q582" s="271"/>
      <c r="R582" s="270"/>
      <c r="S582" s="280"/>
    </row>
    <row r="583" spans="1:19"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5"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x14ac:dyDescent="0.35">
      <c r="A586" s="5" t="s">
        <v>75</v>
      </c>
      <c r="C586"/>
      <c r="D586" s="256"/>
      <c r="E586" s="257"/>
      <c r="F586" s="261"/>
      <c r="G586" s="257"/>
      <c r="H586" s="261"/>
      <c r="I586" s="265"/>
      <c r="J586" s="265"/>
      <c r="K586" s="265"/>
      <c r="L586" s="265"/>
      <c r="M586" s="265"/>
      <c r="N586" s="265"/>
      <c r="O586" s="257"/>
      <c r="P586" s="270"/>
      <c r="Q586" s="271"/>
      <c r="R586" s="270"/>
      <c r="S586" s="280"/>
    </row>
    <row r="587" spans="1:19"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5"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26.25" customHeight="1" thickBot="1" x14ac:dyDescent="0.4">
      <c r="A604" s="17" t="s">
        <v>57</v>
      </c>
      <c r="B604" s="9"/>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8" x14ac:dyDescent="0.55000000000000004">
      <c r="A605" s="17" t="s">
        <v>57</v>
      </c>
      <c r="B605" s="10"/>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8" x14ac:dyDescent="0.55000000000000004">
      <c r="A606" s="17" t="s">
        <v>57</v>
      </c>
      <c r="B606" s="10"/>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8.5" thickBot="1" x14ac:dyDescent="0.6">
      <c r="A607" s="17" t="s">
        <v>57</v>
      </c>
      <c r="B607" s="10"/>
      <c r="C607"/>
      <c r="D607" s="240" t="s">
        <v>7</v>
      </c>
      <c r="E607" s="241"/>
      <c r="F607" s="241"/>
      <c r="G607" s="241"/>
      <c r="H607" s="241"/>
      <c r="I607" s="241"/>
      <c r="J607" s="241"/>
      <c r="K607" s="241"/>
      <c r="L607" s="241"/>
      <c r="M607" s="241"/>
      <c r="N607" s="241"/>
      <c r="O607" s="241"/>
      <c r="P607" s="241"/>
      <c r="Q607" s="241"/>
      <c r="R607" s="241"/>
      <c r="S607" s="242"/>
    </row>
    <row r="608" spans="1:22" ht="28" x14ac:dyDescent="0.55000000000000004">
      <c r="A608" s="17" t="s">
        <v>57</v>
      </c>
      <c r="B608" s="10"/>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8.5" customHeight="1" thickBot="1" x14ac:dyDescent="0.6">
      <c r="A609" s="17" t="s">
        <v>57</v>
      </c>
      <c r="B609" s="10"/>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 thickBot="1" x14ac:dyDescent="0.4">
      <c r="A610" s="8" t="s">
        <v>75</v>
      </c>
      <c r="B610" s="8"/>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75" customHeight="1" thickBot="1" x14ac:dyDescent="0.4">
      <c r="A611" s="8" t="s">
        <v>75</v>
      </c>
      <c r="B611" s="8"/>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B612" s="8"/>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B613" s="8"/>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15.7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x14ac:dyDescent="0.35">
      <c r="A628" s="5" t="s">
        <v>75</v>
      </c>
      <c r="C628"/>
      <c r="D628" s="256"/>
      <c r="E628" s="257"/>
      <c r="F628" s="261"/>
      <c r="G628" s="257"/>
      <c r="H628" s="261"/>
      <c r="I628" s="265"/>
      <c r="J628" s="265"/>
      <c r="K628" s="265"/>
      <c r="L628" s="265"/>
      <c r="M628" s="265"/>
      <c r="N628" s="265"/>
      <c r="O628" s="257"/>
      <c r="P628" s="270"/>
      <c r="Q628" s="283"/>
      <c r="R628" s="270"/>
      <c r="S628" s="280"/>
    </row>
    <row r="629" spans="1:19"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5"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x14ac:dyDescent="0.35">
      <c r="A632" s="5" t="s">
        <v>75</v>
      </c>
      <c r="C632"/>
      <c r="D632" s="256"/>
      <c r="E632" s="257"/>
      <c r="F632" s="261"/>
      <c r="G632" s="257"/>
      <c r="H632" s="261"/>
      <c r="I632" s="265"/>
      <c r="J632" s="265"/>
      <c r="K632" s="265"/>
      <c r="L632" s="265"/>
      <c r="M632" s="265"/>
      <c r="N632" s="265"/>
      <c r="O632" s="257"/>
      <c r="P632" s="270"/>
      <c r="Q632" s="271"/>
      <c r="R632" s="270"/>
      <c r="S632" s="280"/>
    </row>
    <row r="633" spans="1:19"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5"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x14ac:dyDescent="0.35">
      <c r="A636" s="5" t="s">
        <v>75</v>
      </c>
      <c r="C636"/>
      <c r="D636" s="256"/>
      <c r="E636" s="257"/>
      <c r="F636" s="261"/>
      <c r="G636" s="257"/>
      <c r="H636" s="261"/>
      <c r="I636" s="265"/>
      <c r="J636" s="265"/>
      <c r="K636" s="265"/>
      <c r="L636" s="265"/>
      <c r="M636" s="265"/>
      <c r="N636" s="265"/>
      <c r="O636" s="257"/>
      <c r="P636" s="270"/>
      <c r="Q636" s="271"/>
      <c r="R636" s="270"/>
      <c r="S636" s="280"/>
    </row>
    <row r="637" spans="1:19"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5"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26.25" customHeight="1" thickBot="1" x14ac:dyDescent="0.4">
      <c r="A654" s="17" t="s">
        <v>57</v>
      </c>
      <c r="B654" s="9"/>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8" x14ac:dyDescent="0.55000000000000004">
      <c r="A655" s="17" t="s">
        <v>57</v>
      </c>
      <c r="B655" s="10"/>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8" x14ac:dyDescent="0.55000000000000004">
      <c r="A656" s="17" t="s">
        <v>57</v>
      </c>
      <c r="B656" s="10"/>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8.5" thickBot="1" x14ac:dyDescent="0.6">
      <c r="A657" s="17" t="s">
        <v>57</v>
      </c>
      <c r="B657" s="10"/>
      <c r="C657"/>
      <c r="D657" s="240" t="s">
        <v>7</v>
      </c>
      <c r="E657" s="241"/>
      <c r="F657" s="241"/>
      <c r="G657" s="241"/>
      <c r="H657" s="241"/>
      <c r="I657" s="241"/>
      <c r="J657" s="241"/>
      <c r="K657" s="241"/>
      <c r="L657" s="241"/>
      <c r="M657" s="241"/>
      <c r="N657" s="241"/>
      <c r="O657" s="241"/>
      <c r="P657" s="241"/>
      <c r="Q657" s="241"/>
      <c r="R657" s="241"/>
      <c r="S657" s="242"/>
    </row>
    <row r="658" spans="1:22" ht="28" x14ac:dyDescent="0.55000000000000004">
      <c r="A658" s="17" t="s">
        <v>57</v>
      </c>
      <c r="B658" s="10"/>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8.5" customHeight="1" thickBot="1" x14ac:dyDescent="0.6">
      <c r="A659" s="17" t="s">
        <v>57</v>
      </c>
      <c r="B659" s="10"/>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 thickBot="1" x14ac:dyDescent="0.4">
      <c r="A660" s="8" t="s">
        <v>75</v>
      </c>
      <c r="B660" s="8"/>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75" customHeight="1" thickBot="1" x14ac:dyDescent="0.4">
      <c r="A661" s="8" t="s">
        <v>75</v>
      </c>
      <c r="B661" s="8"/>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B662" s="8"/>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B663" s="8"/>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15.7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x14ac:dyDescent="0.35">
      <c r="A678" s="5" t="s">
        <v>75</v>
      </c>
      <c r="C678"/>
      <c r="D678" s="256"/>
      <c r="E678" s="257"/>
      <c r="F678" s="261"/>
      <c r="G678" s="257"/>
      <c r="H678" s="261"/>
      <c r="I678" s="265"/>
      <c r="J678" s="265"/>
      <c r="K678" s="265"/>
      <c r="L678" s="265"/>
      <c r="M678" s="265"/>
      <c r="N678" s="265"/>
      <c r="O678" s="257"/>
      <c r="P678" s="270"/>
      <c r="Q678" s="283"/>
      <c r="R678" s="270"/>
      <c r="S678" s="280"/>
    </row>
    <row r="679" spans="1:19"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5"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x14ac:dyDescent="0.35">
      <c r="A682" s="5" t="s">
        <v>75</v>
      </c>
      <c r="C682"/>
      <c r="D682" s="256"/>
      <c r="E682" s="257"/>
      <c r="F682" s="261"/>
      <c r="G682" s="257"/>
      <c r="H682" s="261"/>
      <c r="I682" s="265"/>
      <c r="J682" s="265"/>
      <c r="K682" s="265"/>
      <c r="L682" s="265"/>
      <c r="M682" s="265"/>
      <c r="N682" s="265"/>
      <c r="O682" s="257"/>
      <c r="P682" s="270"/>
      <c r="Q682" s="271"/>
      <c r="R682" s="270"/>
      <c r="S682" s="280"/>
    </row>
    <row r="683" spans="1:19"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5"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x14ac:dyDescent="0.35">
      <c r="A686" s="5" t="s">
        <v>75</v>
      </c>
      <c r="C686"/>
      <c r="D686" s="256"/>
      <c r="E686" s="257"/>
      <c r="F686" s="261"/>
      <c r="G686" s="257"/>
      <c r="H686" s="261"/>
      <c r="I686" s="265"/>
      <c r="J686" s="265"/>
      <c r="K686" s="265"/>
      <c r="L686" s="265"/>
      <c r="M686" s="265"/>
      <c r="N686" s="265"/>
      <c r="O686" s="257"/>
      <c r="P686" s="270"/>
      <c r="Q686" s="271"/>
      <c r="R686" s="270"/>
      <c r="S686" s="280"/>
    </row>
    <row r="687" spans="1:19"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5"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26.25" customHeight="1" thickBot="1" x14ac:dyDescent="0.4">
      <c r="A704" s="17" t="s">
        <v>57</v>
      </c>
      <c r="B704" s="9"/>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8" x14ac:dyDescent="0.55000000000000004">
      <c r="A705" s="17" t="s">
        <v>57</v>
      </c>
      <c r="B705" s="10"/>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8" x14ac:dyDescent="0.55000000000000004">
      <c r="A706" s="17" t="s">
        <v>57</v>
      </c>
      <c r="B706" s="10"/>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8.5" thickBot="1" x14ac:dyDescent="0.6">
      <c r="A707" s="17" t="s">
        <v>57</v>
      </c>
      <c r="B707" s="10"/>
      <c r="C707"/>
      <c r="D707" s="240" t="s">
        <v>7</v>
      </c>
      <c r="E707" s="241"/>
      <c r="F707" s="241"/>
      <c r="G707" s="241"/>
      <c r="H707" s="241"/>
      <c r="I707" s="241"/>
      <c r="J707" s="241"/>
      <c r="K707" s="241"/>
      <c r="L707" s="241"/>
      <c r="M707" s="241"/>
      <c r="N707" s="241"/>
      <c r="O707" s="241"/>
      <c r="P707" s="241"/>
      <c r="Q707" s="241"/>
      <c r="R707" s="241"/>
      <c r="S707" s="242"/>
    </row>
    <row r="708" spans="1:22" ht="28" x14ac:dyDescent="0.55000000000000004">
      <c r="A708" s="17" t="s">
        <v>57</v>
      </c>
      <c r="B708" s="10"/>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8.5" customHeight="1" thickBot="1" x14ac:dyDescent="0.6">
      <c r="A709" s="17" t="s">
        <v>57</v>
      </c>
      <c r="B709" s="10"/>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 thickBot="1" x14ac:dyDescent="0.4">
      <c r="A710" s="8" t="s">
        <v>75</v>
      </c>
      <c r="B710" s="8"/>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75" customHeight="1" thickBot="1" x14ac:dyDescent="0.4">
      <c r="A711" s="8" t="s">
        <v>75</v>
      </c>
      <c r="B711" s="8"/>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B712" s="8"/>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B713" s="8"/>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15.7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x14ac:dyDescent="0.35">
      <c r="A728" s="5" t="s">
        <v>75</v>
      </c>
      <c r="C728"/>
      <c r="D728" s="256"/>
      <c r="E728" s="257"/>
      <c r="F728" s="261"/>
      <c r="G728" s="257"/>
      <c r="H728" s="261"/>
      <c r="I728" s="265"/>
      <c r="J728" s="265"/>
      <c r="K728" s="265"/>
      <c r="L728" s="265"/>
      <c r="M728" s="265"/>
      <c r="N728" s="265"/>
      <c r="O728" s="257"/>
      <c r="P728" s="270"/>
      <c r="Q728" s="283"/>
      <c r="R728" s="270"/>
      <c r="S728" s="280"/>
    </row>
    <row r="729" spans="1:19"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5"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x14ac:dyDescent="0.35">
      <c r="A732" s="5" t="s">
        <v>75</v>
      </c>
      <c r="C732"/>
      <c r="D732" s="256"/>
      <c r="E732" s="257"/>
      <c r="F732" s="261"/>
      <c r="G732" s="257"/>
      <c r="H732" s="261"/>
      <c r="I732" s="265"/>
      <c r="J732" s="265"/>
      <c r="K732" s="265"/>
      <c r="L732" s="265"/>
      <c r="M732" s="265"/>
      <c r="N732" s="265"/>
      <c r="O732" s="257"/>
      <c r="P732" s="270"/>
      <c r="Q732" s="271"/>
      <c r="R732" s="270"/>
      <c r="S732" s="280"/>
    </row>
    <row r="733" spans="1:19"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5"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x14ac:dyDescent="0.35">
      <c r="A736" s="5" t="s">
        <v>75</v>
      </c>
      <c r="C736"/>
      <c r="D736" s="256"/>
      <c r="E736" s="257"/>
      <c r="F736" s="261"/>
      <c r="G736" s="257"/>
      <c r="H736" s="261"/>
      <c r="I736" s="265"/>
      <c r="J736" s="265"/>
      <c r="K736" s="265"/>
      <c r="L736" s="265"/>
      <c r="M736" s="265"/>
      <c r="N736" s="265"/>
      <c r="O736" s="257"/>
      <c r="P736" s="270"/>
      <c r="Q736" s="271"/>
      <c r="R736" s="270"/>
      <c r="S736" s="280"/>
    </row>
    <row r="737" spans="1:19"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5"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26.25" customHeight="1" thickBot="1" x14ac:dyDescent="0.4">
      <c r="A754" s="17" t="s">
        <v>57</v>
      </c>
      <c r="B754" s="9"/>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8" x14ac:dyDescent="0.55000000000000004">
      <c r="A755" s="17" t="s">
        <v>57</v>
      </c>
      <c r="B755" s="10"/>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8" x14ac:dyDescent="0.55000000000000004">
      <c r="A756" s="17" t="s">
        <v>57</v>
      </c>
      <c r="B756" s="10"/>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8.5" thickBot="1" x14ac:dyDescent="0.6">
      <c r="A757" s="17" t="s">
        <v>57</v>
      </c>
      <c r="B757" s="10"/>
      <c r="C757"/>
      <c r="D757" s="240" t="s">
        <v>7</v>
      </c>
      <c r="E757" s="241"/>
      <c r="F757" s="241"/>
      <c r="G757" s="241"/>
      <c r="H757" s="241"/>
      <c r="I757" s="241"/>
      <c r="J757" s="241"/>
      <c r="K757" s="241"/>
      <c r="L757" s="241"/>
      <c r="M757" s="241"/>
      <c r="N757" s="241"/>
      <c r="O757" s="241"/>
      <c r="P757" s="241"/>
      <c r="Q757" s="241"/>
      <c r="R757" s="241"/>
      <c r="S757" s="242"/>
    </row>
    <row r="758" spans="1:22" ht="28" x14ac:dyDescent="0.55000000000000004">
      <c r="A758" s="17" t="s">
        <v>57</v>
      </c>
      <c r="B758" s="10"/>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8.5" customHeight="1" thickBot="1" x14ac:dyDescent="0.6">
      <c r="A759" s="17" t="s">
        <v>57</v>
      </c>
      <c r="B759" s="10"/>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 thickBot="1" x14ac:dyDescent="0.4">
      <c r="A760" s="8" t="s">
        <v>75</v>
      </c>
      <c r="B760" s="8"/>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75" customHeight="1" thickBot="1" x14ac:dyDescent="0.4">
      <c r="A761" s="8" t="s">
        <v>75</v>
      </c>
      <c r="B761" s="8"/>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B762" s="8"/>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B763" s="8"/>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15.7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x14ac:dyDescent="0.35">
      <c r="A778" s="5" t="s">
        <v>75</v>
      </c>
      <c r="C778"/>
      <c r="D778" s="256"/>
      <c r="E778" s="257"/>
      <c r="F778" s="261"/>
      <c r="G778" s="257"/>
      <c r="H778" s="261"/>
      <c r="I778" s="265"/>
      <c r="J778" s="265"/>
      <c r="K778" s="265"/>
      <c r="L778" s="265"/>
      <c r="M778" s="265"/>
      <c r="N778" s="265"/>
      <c r="O778" s="257"/>
      <c r="P778" s="270"/>
      <c r="Q778" s="283"/>
      <c r="R778" s="270"/>
      <c r="S778" s="280"/>
    </row>
    <row r="779" spans="1:19"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5"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x14ac:dyDescent="0.35">
      <c r="A782" s="5" t="s">
        <v>75</v>
      </c>
      <c r="C782"/>
      <c r="D782" s="256"/>
      <c r="E782" s="257"/>
      <c r="F782" s="261"/>
      <c r="G782" s="257"/>
      <c r="H782" s="261"/>
      <c r="I782" s="265"/>
      <c r="J782" s="265"/>
      <c r="K782" s="265"/>
      <c r="L782" s="265"/>
      <c r="M782" s="265"/>
      <c r="N782" s="265"/>
      <c r="O782" s="257"/>
      <c r="P782" s="270"/>
      <c r="Q782" s="271"/>
      <c r="R782" s="270"/>
      <c r="S782" s="280"/>
    </row>
    <row r="783" spans="1:19"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5"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x14ac:dyDescent="0.35">
      <c r="A786" s="5" t="s">
        <v>75</v>
      </c>
      <c r="C786"/>
      <c r="D786" s="256"/>
      <c r="E786" s="257"/>
      <c r="F786" s="261"/>
      <c r="G786" s="257"/>
      <c r="H786" s="261"/>
      <c r="I786" s="265"/>
      <c r="J786" s="265"/>
      <c r="K786" s="265"/>
      <c r="L786" s="265"/>
      <c r="M786" s="265"/>
      <c r="N786" s="265"/>
      <c r="O786" s="257"/>
      <c r="P786" s="270"/>
      <c r="Q786" s="271"/>
      <c r="R786" s="270"/>
      <c r="S786" s="280"/>
    </row>
    <row r="787" spans="1:19"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5" thickBot="1" x14ac:dyDescent="0.4">
      <c r="A788" s="5" t="s">
        <v>75</v>
      </c>
      <c r="C788"/>
      <c r="D788" s="274"/>
      <c r="E788" s="263"/>
      <c r="F788" s="262"/>
      <c r="G788" s="263"/>
      <c r="H788" s="262"/>
      <c r="I788" s="275"/>
      <c r="J788" s="275"/>
      <c r="K788" s="275"/>
      <c r="L788" s="275"/>
      <c r="M788" s="275"/>
      <c r="N788" s="275"/>
      <c r="O788" s="263"/>
      <c r="P788" s="276"/>
      <c r="Q788" s="277"/>
      <c r="R788" s="276"/>
      <c r="S788" s="281"/>
    </row>
  </sheetData>
  <mergeCells count="753">
    <mergeCell ref="U758:V758"/>
    <mergeCell ref="U759:V760"/>
    <mergeCell ref="D54:G54"/>
    <mergeCell ref="H54:S54"/>
    <mergeCell ref="D104:G104"/>
    <mergeCell ref="H104:S104"/>
    <mergeCell ref="D154:G154"/>
    <mergeCell ref="H154:S154"/>
    <mergeCell ref="D204:G204"/>
    <mergeCell ref="H204:S204"/>
    <mergeCell ref="D254:G254"/>
    <mergeCell ref="H254:S254"/>
    <mergeCell ref="D304:G304"/>
    <mergeCell ref="H304:S304"/>
    <mergeCell ref="D354:G354"/>
    <mergeCell ref="H354:S354"/>
    <mergeCell ref="D404:G404"/>
    <mergeCell ref="H404:S404"/>
    <mergeCell ref="D454:G454"/>
    <mergeCell ref="H454:S454"/>
    <mergeCell ref="D504:G504"/>
    <mergeCell ref="H504:S504"/>
    <mergeCell ref="D554:G554"/>
    <mergeCell ref="H554:S554"/>
    <mergeCell ref="U508:V508"/>
    <mergeCell ref="U509:V510"/>
    <mergeCell ref="U558:V558"/>
    <mergeCell ref="U559:V560"/>
    <mergeCell ref="U608:V608"/>
    <mergeCell ref="U609:V610"/>
    <mergeCell ref="U658:V658"/>
    <mergeCell ref="U659:V660"/>
    <mergeCell ref="U708:V708"/>
    <mergeCell ref="U258:V258"/>
    <mergeCell ref="U259:V260"/>
    <mergeCell ref="U308:V308"/>
    <mergeCell ref="U309:V310"/>
    <mergeCell ref="U358:V358"/>
    <mergeCell ref="U359:V360"/>
    <mergeCell ref="U408:V408"/>
    <mergeCell ref="U409:V410"/>
    <mergeCell ref="U458:V458"/>
    <mergeCell ref="U7:V7"/>
    <mergeCell ref="U8:V9"/>
    <mergeCell ref="U58:V58"/>
    <mergeCell ref="U59:V60"/>
    <mergeCell ref="U108:V108"/>
    <mergeCell ref="U109:V110"/>
    <mergeCell ref="U158:V158"/>
    <mergeCell ref="U159:V160"/>
    <mergeCell ref="U208:V208"/>
    <mergeCell ref="U209:V210"/>
    <mergeCell ref="F4:G4"/>
    <mergeCell ref="H4:K4"/>
    <mergeCell ref="L4:O4"/>
    <mergeCell ref="P4:S4"/>
    <mergeCell ref="D5:S5"/>
    <mergeCell ref="D3:E3"/>
    <mergeCell ref="F3:G3"/>
    <mergeCell ref="H3:K3"/>
    <mergeCell ref="L3:O3"/>
    <mergeCell ref="P3:S3"/>
    <mergeCell ref="E12:E13"/>
    <mergeCell ref="F12:F13"/>
    <mergeCell ref="G12:G13"/>
    <mergeCell ref="H12:I13"/>
    <mergeCell ref="J12:K13"/>
    <mergeCell ref="L12:P13"/>
    <mergeCell ref="Q12:S13"/>
    <mergeCell ref="E16:E17"/>
    <mergeCell ref="F16:F17"/>
    <mergeCell ref="G16:G17"/>
    <mergeCell ref="H16:I17"/>
    <mergeCell ref="J16:K17"/>
    <mergeCell ref="L16:P17"/>
    <mergeCell ref="D2:F2"/>
    <mergeCell ref="H2:K2"/>
    <mergeCell ref="L2:S2"/>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D8:D21"/>
    <mergeCell ref="D4:E4"/>
    <mergeCell ref="Q16:S17"/>
    <mergeCell ref="E14:E15"/>
    <mergeCell ref="F14:F15"/>
    <mergeCell ref="G14:G15"/>
    <mergeCell ref="H14:I15"/>
    <mergeCell ref="J14:K15"/>
    <mergeCell ref="L14:P15"/>
    <mergeCell ref="Q14:S15"/>
    <mergeCell ref="H20:I21"/>
    <mergeCell ref="J20:K21"/>
    <mergeCell ref="L20:P21"/>
    <mergeCell ref="Q20:S21"/>
    <mergeCell ref="E18:E19"/>
    <mergeCell ref="F18:F19"/>
    <mergeCell ref="G18:G19"/>
    <mergeCell ref="H18:I19"/>
    <mergeCell ref="J18:K19"/>
    <mergeCell ref="L18:P19"/>
    <mergeCell ref="Q18:S19"/>
    <mergeCell ref="E20:E21"/>
    <mergeCell ref="F20:F21"/>
    <mergeCell ref="G20:G21"/>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E59:F59"/>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E109:F109"/>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E159:F159"/>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E209:F209"/>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8:S258"/>
    <mergeCell ref="E259:F259"/>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8:S308"/>
    <mergeCell ref="E309:F309"/>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8:S358"/>
    <mergeCell ref="E359:F359"/>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8:S408"/>
    <mergeCell ref="E409:F409"/>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72:D473"/>
    <mergeCell ref="D474:D475"/>
    <mergeCell ref="H476:O476"/>
    <mergeCell ref="P476:Q476"/>
    <mergeCell ref="D458:S458"/>
    <mergeCell ref="E459:F459"/>
    <mergeCell ref="D460:D465"/>
    <mergeCell ref="D466:D467"/>
    <mergeCell ref="D456:G456"/>
    <mergeCell ref="H456:J456"/>
    <mergeCell ref="K456:M456"/>
    <mergeCell ref="N456:P456"/>
    <mergeCell ref="Q456:S456"/>
    <mergeCell ref="D457:S457"/>
    <mergeCell ref="U459:V460"/>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R476:S476"/>
    <mergeCell ref="D477:E480"/>
    <mergeCell ref="F477:G480"/>
    <mergeCell ref="H477:O480"/>
    <mergeCell ref="P477:Q480"/>
    <mergeCell ref="R477:S480"/>
    <mergeCell ref="D468:D469"/>
    <mergeCell ref="D470:D471"/>
    <mergeCell ref="D508:S508"/>
    <mergeCell ref="E509:F509"/>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8:S558"/>
    <mergeCell ref="E559:F559"/>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E609:F609"/>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E659:F659"/>
    <mergeCell ref="D660:D665"/>
    <mergeCell ref="D666:D667"/>
    <mergeCell ref="D656:G656"/>
    <mergeCell ref="H656:J656"/>
    <mergeCell ref="K656:M656"/>
    <mergeCell ref="N656:P656"/>
    <mergeCell ref="Q656:S656"/>
    <mergeCell ref="D657:S657"/>
    <mergeCell ref="D704:G704"/>
    <mergeCell ref="H704:S704"/>
    <mergeCell ref="R676:S676"/>
    <mergeCell ref="D677:E680"/>
    <mergeCell ref="F677:G680"/>
    <mergeCell ref="H677:O680"/>
    <mergeCell ref="P677:Q680"/>
    <mergeCell ref="R677:S680"/>
    <mergeCell ref="D668:D669"/>
    <mergeCell ref="D670:D671"/>
    <mergeCell ref="D672:D673"/>
    <mergeCell ref="D674:D675"/>
    <mergeCell ref="H676:O676"/>
    <mergeCell ref="P676:Q676"/>
    <mergeCell ref="D681:E684"/>
    <mergeCell ref="F681:G684"/>
    <mergeCell ref="H681:O684"/>
    <mergeCell ref="P681:Q684"/>
    <mergeCell ref="R681:S684"/>
    <mergeCell ref="D685:E688"/>
    <mergeCell ref="F685:G688"/>
    <mergeCell ref="H685:O688"/>
    <mergeCell ref="P685:Q688"/>
    <mergeCell ref="R685:S688"/>
    <mergeCell ref="D706:G706"/>
    <mergeCell ref="H706:J706"/>
    <mergeCell ref="K706:M706"/>
    <mergeCell ref="N706:P706"/>
    <mergeCell ref="Q706:S706"/>
    <mergeCell ref="D707:S707"/>
    <mergeCell ref="D705:G705"/>
    <mergeCell ref="H705:J705"/>
    <mergeCell ref="K705:M705"/>
    <mergeCell ref="N705:P705"/>
    <mergeCell ref="Q705:S705"/>
    <mergeCell ref="D718:D719"/>
    <mergeCell ref="D720:D721"/>
    <mergeCell ref="D722:D723"/>
    <mergeCell ref="D724:D725"/>
    <mergeCell ref="H726:O726"/>
    <mergeCell ref="P726:Q726"/>
    <mergeCell ref="D708:S708"/>
    <mergeCell ref="E709:F709"/>
    <mergeCell ref="D710:D715"/>
    <mergeCell ref="D716:D717"/>
    <mergeCell ref="U709:V710"/>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R726:S726"/>
    <mergeCell ref="D727:E730"/>
    <mergeCell ref="F727:G730"/>
    <mergeCell ref="H727:O730"/>
    <mergeCell ref="P727:Q730"/>
    <mergeCell ref="R727:S730"/>
    <mergeCell ref="D785:E788"/>
    <mergeCell ref="F785:G788"/>
    <mergeCell ref="H785:O788"/>
    <mergeCell ref="P785:Q788"/>
    <mergeCell ref="R785:S788"/>
    <mergeCell ref="R776:S776"/>
    <mergeCell ref="D777:E780"/>
    <mergeCell ref="F777:G780"/>
    <mergeCell ref="H777:O780"/>
    <mergeCell ref="P777:Q780"/>
    <mergeCell ref="R777:S780"/>
    <mergeCell ref="R781:S784"/>
    <mergeCell ref="D770:D771"/>
    <mergeCell ref="D772:D773"/>
    <mergeCell ref="D774:D775"/>
    <mergeCell ref="H776:O776"/>
    <mergeCell ref="P776:Q776"/>
    <mergeCell ref="D760:D765"/>
    <mergeCell ref="D766:D767"/>
    <mergeCell ref="D781:E784"/>
    <mergeCell ref="F781:G784"/>
    <mergeCell ref="H781:O784"/>
    <mergeCell ref="P781:Q784"/>
    <mergeCell ref="D758:S758"/>
    <mergeCell ref="E759:F759"/>
    <mergeCell ref="D756:G756"/>
    <mergeCell ref="H756:J756"/>
    <mergeCell ref="K756:M756"/>
    <mergeCell ref="N756:P756"/>
    <mergeCell ref="Q756:S756"/>
    <mergeCell ref="D757:S757"/>
    <mergeCell ref="D768:D769"/>
  </mergeCells>
  <conditionalFormatting sqref="D2:S2">
    <cfRule type="expression" dxfId="3007" priority="180" stopIfTrue="1">
      <formula>IF(LEFT($A$7,2)="04",1,0)</formula>
    </cfRule>
    <cfRule type="expression" dxfId="3006" priority="181">
      <formula>IF(LEFT($A$7,2)="05",1,0)</formula>
    </cfRule>
    <cfRule type="expression" dxfId="3005" priority="173" stopIfTrue="1">
      <formula>IF(LEFT($A$7,2)="01",1,0)</formula>
    </cfRule>
    <cfRule type="expression" dxfId="3004" priority="178" stopIfTrue="1">
      <formula>IF(LEFT($A$7,2)="02",1,0)</formula>
    </cfRule>
    <cfRule type="expression" dxfId="3003" priority="179" stopIfTrue="1">
      <formula>IF(LEFT($A$7,2)="03",1,0)</formula>
    </cfRule>
  </conditionalFormatting>
  <conditionalFormatting sqref="D4:S4">
    <cfRule type="expression" dxfId="3002" priority="172">
      <formula>IF(LEFT($A$7,2)="01",1,0)</formula>
    </cfRule>
    <cfRule type="expression" dxfId="3001" priority="174">
      <formula>IF(LEFT($A$7,2)="02",1,0)</formula>
    </cfRule>
    <cfRule type="expression" dxfId="3000" priority="175">
      <formula>IF(LEFT($A$7,2)="03",1,0)</formula>
    </cfRule>
    <cfRule type="expression" dxfId="2999" priority="176">
      <formula>IF(LEFT($A$7,2)="04",1,0)</formula>
    </cfRule>
    <cfRule type="expression" dxfId="2998" priority="177">
      <formula>IF(LEFT($A$7,2)="05",1,0)</formula>
    </cfRule>
  </conditionalFormatting>
  <conditionalFormatting sqref="D54:S54">
    <cfRule type="expression" dxfId="2997" priority="156">
      <formula>IF(LEFT($A$7,2)="01",1,0)</formula>
    </cfRule>
    <cfRule type="expression" dxfId="2996" priority="158">
      <formula>IF(LEFT($A$7,2)="03",1,0)</formula>
    </cfRule>
    <cfRule type="expression" dxfId="2995" priority="159">
      <formula>IF(LEFT($A$7,2)="04",1,0)</formula>
    </cfRule>
    <cfRule type="expression" dxfId="2994" priority="160">
      <formula>IF(LEFT($A$7,2)="05",1,0)</formula>
    </cfRule>
    <cfRule type="expression" dxfId="2993" priority="157">
      <formula>IF(LEFT($A$7,2)="02",1,0)</formula>
    </cfRule>
  </conditionalFormatting>
  <conditionalFormatting sqref="D104:S104">
    <cfRule type="expression" dxfId="2992" priority="70">
      <formula>IF(LEFT($A$7,2)="05",1,0)</formula>
    </cfRule>
    <cfRule type="expression" dxfId="2991" priority="69">
      <formula>IF(LEFT($A$7,2)="04",1,0)</formula>
    </cfRule>
    <cfRule type="expression" dxfId="2990" priority="68">
      <formula>IF(LEFT($A$7,2)="03",1,0)</formula>
    </cfRule>
    <cfRule type="expression" dxfId="2989" priority="67">
      <formula>IF(LEFT($A$7,2)="02",1,0)</formula>
    </cfRule>
    <cfRule type="expression" dxfId="2988" priority="66">
      <formula>IF(LEFT($A$7,2)="01",1,0)</formula>
    </cfRule>
  </conditionalFormatting>
  <conditionalFormatting sqref="D154:S154">
    <cfRule type="expression" dxfId="2987" priority="65">
      <formula>IF(LEFT($A$7,2)="05",1,0)</formula>
    </cfRule>
    <cfRule type="expression" dxfId="2986" priority="64">
      <formula>IF(LEFT($A$7,2)="04",1,0)</formula>
    </cfRule>
    <cfRule type="expression" dxfId="2985" priority="63">
      <formula>IF(LEFT($A$7,2)="03",1,0)</formula>
    </cfRule>
    <cfRule type="expression" dxfId="2984" priority="62">
      <formula>IF(LEFT($A$7,2)="02",1,0)</formula>
    </cfRule>
    <cfRule type="expression" dxfId="2983" priority="61">
      <formula>IF(LEFT($A$7,2)="01",1,0)</formula>
    </cfRule>
  </conditionalFormatting>
  <conditionalFormatting sqref="D204:S204">
    <cfRule type="expression" dxfId="2982" priority="60">
      <formula>IF(LEFT($A$7,2)="05",1,0)</formula>
    </cfRule>
    <cfRule type="expression" dxfId="2981" priority="59">
      <formula>IF(LEFT($A$7,2)="04",1,0)</formula>
    </cfRule>
    <cfRule type="expression" dxfId="2980" priority="58">
      <formula>IF(LEFT($A$7,2)="03",1,0)</formula>
    </cfRule>
    <cfRule type="expression" dxfId="2979" priority="57">
      <formula>IF(LEFT($A$7,2)="02",1,0)</formula>
    </cfRule>
    <cfRule type="expression" dxfId="2978" priority="56">
      <formula>IF(LEFT($A$7,2)="01",1,0)</formula>
    </cfRule>
  </conditionalFormatting>
  <conditionalFormatting sqref="D254:S254">
    <cfRule type="expression" dxfId="2977" priority="55">
      <formula>IF(LEFT($A$7,2)="05",1,0)</formula>
    </cfRule>
    <cfRule type="expression" dxfId="2976" priority="54">
      <formula>IF(LEFT($A$7,2)="04",1,0)</formula>
    </cfRule>
    <cfRule type="expression" dxfId="2975" priority="53">
      <formula>IF(LEFT($A$7,2)="03",1,0)</formula>
    </cfRule>
    <cfRule type="expression" dxfId="2974" priority="52">
      <formula>IF(LEFT($A$7,2)="02",1,0)</formula>
    </cfRule>
    <cfRule type="expression" dxfId="2973" priority="51">
      <formula>IF(LEFT($A$7,2)="01",1,0)</formula>
    </cfRule>
  </conditionalFormatting>
  <conditionalFormatting sqref="D304:S304">
    <cfRule type="expression" dxfId="2972" priority="50">
      <formula>IF(LEFT($A$7,2)="05",1,0)</formula>
    </cfRule>
    <cfRule type="expression" dxfId="2971" priority="49">
      <formula>IF(LEFT($A$7,2)="04",1,0)</formula>
    </cfRule>
    <cfRule type="expression" dxfId="2970" priority="48">
      <formula>IF(LEFT($A$7,2)="03",1,0)</formula>
    </cfRule>
    <cfRule type="expression" dxfId="2969" priority="47">
      <formula>IF(LEFT($A$7,2)="02",1,0)</formula>
    </cfRule>
    <cfRule type="expression" dxfId="2968" priority="46">
      <formula>IF(LEFT($A$7,2)="01",1,0)</formula>
    </cfRule>
  </conditionalFormatting>
  <conditionalFormatting sqref="D354:S354">
    <cfRule type="expression" dxfId="2967" priority="41">
      <formula>IF(LEFT($A$7,2)="01",1,0)</formula>
    </cfRule>
    <cfRule type="expression" dxfId="2966" priority="42">
      <formula>IF(LEFT($A$7,2)="02",1,0)</formula>
    </cfRule>
    <cfRule type="expression" dxfId="2965" priority="43">
      <formula>IF(LEFT($A$7,2)="03",1,0)</formula>
    </cfRule>
    <cfRule type="expression" dxfId="2964" priority="44">
      <formula>IF(LEFT($A$7,2)="04",1,0)</formula>
    </cfRule>
    <cfRule type="expression" dxfId="2963" priority="45">
      <formula>IF(LEFT($A$7,2)="05",1,0)</formula>
    </cfRule>
  </conditionalFormatting>
  <conditionalFormatting sqref="D404:S404">
    <cfRule type="expression" dxfId="2962" priority="40">
      <formula>IF(LEFT($A$7,2)="05",1,0)</formula>
    </cfRule>
    <cfRule type="expression" dxfId="2961" priority="39">
      <formula>IF(LEFT($A$7,2)="04",1,0)</formula>
    </cfRule>
    <cfRule type="expression" dxfId="2960" priority="38">
      <formula>IF(LEFT($A$7,2)="03",1,0)</formula>
    </cfRule>
    <cfRule type="expression" dxfId="2959" priority="37">
      <formula>IF(LEFT($A$7,2)="02",1,0)</formula>
    </cfRule>
    <cfRule type="expression" dxfId="2958" priority="36">
      <formula>IF(LEFT($A$7,2)="01",1,0)</formula>
    </cfRule>
  </conditionalFormatting>
  <conditionalFormatting sqref="D454:S454">
    <cfRule type="expression" dxfId="2957" priority="35">
      <formula>IF(LEFT($A$7,2)="05",1,0)</formula>
    </cfRule>
    <cfRule type="expression" dxfId="2956" priority="34">
      <formula>IF(LEFT($A$7,2)="04",1,0)</formula>
    </cfRule>
    <cfRule type="expression" dxfId="2955" priority="33">
      <formula>IF(LEFT($A$7,2)="03",1,0)</formula>
    </cfRule>
    <cfRule type="expression" dxfId="2954" priority="32">
      <formula>IF(LEFT($A$7,2)="02",1,0)</formula>
    </cfRule>
    <cfRule type="expression" dxfId="2953" priority="31">
      <formula>IF(LEFT($A$7,2)="01",1,0)</formula>
    </cfRule>
  </conditionalFormatting>
  <conditionalFormatting sqref="D504:S504">
    <cfRule type="expression" dxfId="2952" priority="30">
      <formula>IF(LEFT($A$7,2)="05",1,0)</formula>
    </cfRule>
    <cfRule type="expression" dxfId="2951" priority="29">
      <formula>IF(LEFT($A$7,2)="04",1,0)</formula>
    </cfRule>
    <cfRule type="expression" dxfId="2950" priority="28">
      <formula>IF(LEFT($A$7,2)="03",1,0)</formula>
    </cfRule>
    <cfRule type="expression" dxfId="2949" priority="27">
      <formula>IF(LEFT($A$7,2)="02",1,0)</formula>
    </cfRule>
    <cfRule type="expression" dxfId="2948" priority="26">
      <formula>IF(LEFT($A$7,2)="01",1,0)</formula>
    </cfRule>
  </conditionalFormatting>
  <conditionalFormatting sqref="D554:S554">
    <cfRule type="expression" dxfId="2947" priority="25">
      <formula>IF(LEFT($A$7,2)="05",1,0)</formula>
    </cfRule>
    <cfRule type="expression" dxfId="2946" priority="24">
      <formula>IF(LEFT($A$7,2)="04",1,0)</formula>
    </cfRule>
    <cfRule type="expression" dxfId="2945" priority="23">
      <formula>IF(LEFT($A$7,2)="03",1,0)</formula>
    </cfRule>
    <cfRule type="expression" dxfId="2944" priority="22">
      <formula>IF(LEFT($A$7,2)="02",1,0)</formula>
    </cfRule>
    <cfRule type="expression" dxfId="2943" priority="21">
      <formula>IF(LEFT($A$7,2)="01",1,0)</formula>
    </cfRule>
  </conditionalFormatting>
  <conditionalFormatting sqref="D604:S604">
    <cfRule type="expression" dxfId="2942" priority="20">
      <formula>IF(LEFT($A$7,2)="05",1,0)</formula>
    </cfRule>
    <cfRule type="expression" dxfId="2941" priority="19">
      <formula>IF(LEFT($A$7,2)="04",1,0)</formula>
    </cfRule>
    <cfRule type="expression" dxfId="2940" priority="18">
      <formula>IF(LEFT($A$7,2)="03",1,0)</formula>
    </cfRule>
    <cfRule type="expression" dxfId="2939" priority="17">
      <formula>IF(LEFT($A$7,2)="02",1,0)</formula>
    </cfRule>
    <cfRule type="expression" dxfId="2938" priority="16">
      <formula>IF(LEFT($A$7,2)="01",1,0)</formula>
    </cfRule>
  </conditionalFormatting>
  <conditionalFormatting sqref="D654:S654">
    <cfRule type="expression" dxfId="2937" priority="15">
      <formula>IF(LEFT($A$7,2)="05",1,0)</formula>
    </cfRule>
    <cfRule type="expression" dxfId="2936" priority="14">
      <formula>IF(LEFT($A$7,2)="04",1,0)</formula>
    </cfRule>
    <cfRule type="expression" dxfId="2935" priority="13">
      <formula>IF(LEFT($A$7,2)="03",1,0)</formula>
    </cfRule>
    <cfRule type="expression" dxfId="2934" priority="12">
      <formula>IF(LEFT($A$7,2)="02",1,0)</formula>
    </cfRule>
    <cfRule type="expression" dxfId="2933" priority="11">
      <formula>IF(LEFT($A$7,2)="01",1,0)</formula>
    </cfRule>
  </conditionalFormatting>
  <conditionalFormatting sqref="D704:S704">
    <cfRule type="expression" dxfId="2932" priority="10">
      <formula>IF(LEFT($A$7,2)="05",1,0)</formula>
    </cfRule>
    <cfRule type="expression" dxfId="2931" priority="9">
      <formula>IF(LEFT($A$7,2)="04",1,0)</formula>
    </cfRule>
    <cfRule type="expression" dxfId="2930" priority="8">
      <formula>IF(LEFT($A$7,2)="03",1,0)</formula>
    </cfRule>
    <cfRule type="expression" dxfId="2929" priority="7">
      <formula>IF(LEFT($A$7,2)="02",1,0)</formula>
    </cfRule>
    <cfRule type="expression" dxfId="2928" priority="6">
      <formula>IF(LEFT($A$7,2)="01",1,0)</formula>
    </cfRule>
  </conditionalFormatting>
  <conditionalFormatting sqref="D754:S754">
    <cfRule type="expression" dxfId="2927" priority="5">
      <formula>IF(LEFT($A$7,2)="05",1,0)</formula>
    </cfRule>
    <cfRule type="expression" dxfId="2926" priority="4">
      <formula>IF(LEFT($A$7,2)="04",1,0)</formula>
    </cfRule>
    <cfRule type="expression" dxfId="2925" priority="3">
      <formula>IF(LEFT($A$7,2)="03",1,0)</formula>
    </cfRule>
    <cfRule type="expression" dxfId="2924" priority="2">
      <formula>IF(LEFT($A$7,2)="02",1,0)</formula>
    </cfRule>
    <cfRule type="expression" dxfId="2923" priority="1">
      <formula>IF(LEFT($A$7,2)="01",1,0)</formula>
    </cfRule>
  </conditionalFormatting>
  <conditionalFormatting sqref="G8">
    <cfRule type="cellIs" dxfId="2922" priority="204" operator="equal">
      <formula>1</formula>
    </cfRule>
    <cfRule type="cellIs" dxfId="2921" priority="205" operator="equal">
      <formula>2</formula>
    </cfRule>
    <cfRule type="cellIs" dxfId="2920" priority="206" operator="equal">
      <formula>3</formula>
    </cfRule>
    <cfRule type="cellIs" dxfId="2919" priority="207" operator="equal">
      <formula>4</formula>
    </cfRule>
    <cfRule type="cellIs" dxfId="2918" priority="208" operator="equal">
      <formula>5</formula>
    </cfRule>
    <cfRule type="cellIs" dxfId="2917" priority="209" operator="equal">
      <formula>6</formula>
    </cfRule>
    <cfRule type="cellIs" dxfId="2916" priority="196" operator="equal">
      <formula>2</formula>
    </cfRule>
    <cfRule type="cellIs" dxfId="2915" priority="197" operator="equal">
      <formula>3</formula>
    </cfRule>
    <cfRule type="cellIs" dxfId="2914" priority="198" operator="equal">
      <formula>4</formula>
    </cfRule>
    <cfRule type="cellIs" dxfId="2913" priority="199" operator="equal">
      <formula>5</formula>
    </cfRule>
    <cfRule type="cellIs" dxfId="2912" priority="200" operator="equal">
      <formula>6</formula>
    </cfRule>
    <cfRule type="cellIs" dxfId="2911" priority="201" operator="equal">
      <formula>7</formula>
    </cfRule>
    <cfRule type="cellIs" dxfId="2910" priority="203" operator="equal">
      <formula>"x"</formula>
    </cfRule>
  </conditionalFormatting>
  <conditionalFormatting sqref="G10 G12">
    <cfRule type="cellIs" dxfId="2909" priority="315" operator="equal">
      <formula>"x"</formula>
    </cfRule>
    <cfRule type="cellIs" dxfId="2908" priority="321" operator="equal">
      <formula>6</formula>
    </cfRule>
    <cfRule type="cellIs" dxfId="2907" priority="308" operator="equal">
      <formula>2</formula>
    </cfRule>
    <cfRule type="cellIs" dxfId="2906" priority="309" operator="equal">
      <formula>3</formula>
    </cfRule>
    <cfRule type="cellIs" dxfId="2905" priority="320" operator="equal">
      <formula>5</formula>
    </cfRule>
    <cfRule type="cellIs" dxfId="2904" priority="319" operator="equal">
      <formula>4</formula>
    </cfRule>
    <cfRule type="cellIs" dxfId="2903" priority="318" operator="equal">
      <formula>3</formula>
    </cfRule>
    <cfRule type="cellIs" dxfId="2902" priority="317" operator="equal">
      <formula>2</formula>
    </cfRule>
    <cfRule type="cellIs" dxfId="2901" priority="310" operator="equal">
      <formula>4</formula>
    </cfRule>
    <cfRule type="cellIs" dxfId="2900" priority="316" operator="equal">
      <formula>1</formula>
    </cfRule>
    <cfRule type="cellIs" dxfId="2899" priority="311" operator="equal">
      <formula>5</formula>
    </cfRule>
    <cfRule type="cellIs" dxfId="2898" priority="313" operator="equal">
      <formula>7</formula>
    </cfRule>
    <cfRule type="cellIs" dxfId="2897" priority="312" operator="equal">
      <formula>6</formula>
    </cfRule>
  </conditionalFormatting>
  <conditionalFormatting sqref="G14">
    <cfRule type="cellIs" dxfId="2896" priority="304" operator="equal">
      <formula>3</formula>
    </cfRule>
    <cfRule type="cellIs" dxfId="2895" priority="306" operator="equal">
      <formula>5</formula>
    </cfRule>
    <cfRule type="cellIs" dxfId="2894" priority="307" operator="equal">
      <formula>6</formula>
    </cfRule>
    <cfRule type="cellIs" dxfId="2893" priority="305" operator="equal">
      <formula>4</formula>
    </cfRule>
    <cfRule type="cellIs" dxfId="2892" priority="303" operator="equal">
      <formula>2</formula>
    </cfRule>
    <cfRule type="cellIs" dxfId="2891" priority="302" operator="equal">
      <formula>1</formula>
    </cfRule>
    <cfRule type="cellIs" dxfId="2890" priority="301" operator="equal">
      <formula>"x"</formula>
    </cfRule>
    <cfRule type="cellIs" dxfId="2889" priority="299" operator="equal">
      <formula>7</formula>
    </cfRule>
    <cfRule type="cellIs" dxfId="2888" priority="298" operator="equal">
      <formula>6</formula>
    </cfRule>
    <cfRule type="cellIs" dxfId="2887" priority="297" operator="equal">
      <formula>5</formula>
    </cfRule>
    <cfRule type="cellIs" dxfId="2886" priority="296" operator="equal">
      <formula>4</formula>
    </cfRule>
    <cfRule type="cellIs" dxfId="2885" priority="295" operator="equal">
      <formula>3</formula>
    </cfRule>
    <cfRule type="cellIs" dxfId="2884" priority="294" operator="equal">
      <formula>2</formula>
    </cfRule>
  </conditionalFormatting>
  <conditionalFormatting sqref="G16">
    <cfRule type="cellIs" dxfId="2883" priority="283" operator="equal">
      <formula>5</formula>
    </cfRule>
    <cfRule type="cellIs" dxfId="2882" priority="291" operator="equal">
      <formula>4</formula>
    </cfRule>
    <cfRule type="cellIs" dxfId="2881" priority="280" operator="equal">
      <formula>2</formula>
    </cfRule>
    <cfRule type="cellIs" dxfId="2880" priority="281" operator="equal">
      <formula>3</formula>
    </cfRule>
    <cfRule type="cellIs" dxfId="2879" priority="282" operator="equal">
      <formula>4</formula>
    </cfRule>
    <cfRule type="cellIs" dxfId="2878" priority="290" operator="equal">
      <formula>3</formula>
    </cfRule>
    <cfRule type="cellIs" dxfId="2877" priority="284" operator="equal">
      <formula>6</formula>
    </cfRule>
    <cfRule type="cellIs" dxfId="2876" priority="285" operator="equal">
      <formula>7</formula>
    </cfRule>
    <cfRule type="cellIs" dxfId="2875" priority="287" operator="equal">
      <formula>"x"</formula>
    </cfRule>
    <cfRule type="cellIs" dxfId="2874" priority="288" operator="equal">
      <formula>1</formula>
    </cfRule>
    <cfRule type="cellIs" dxfId="2873" priority="289" operator="equal">
      <formula>2</formula>
    </cfRule>
    <cfRule type="cellIs" dxfId="2872" priority="292" operator="equal">
      <formula>5</formula>
    </cfRule>
    <cfRule type="cellIs" dxfId="2871" priority="293" operator="equal">
      <formula>6</formula>
    </cfRule>
  </conditionalFormatting>
  <conditionalFormatting sqref="G18">
    <cfRule type="cellIs" dxfId="2870" priority="274" operator="equal">
      <formula>1</formula>
    </cfRule>
    <cfRule type="cellIs" dxfId="2869" priority="279" operator="equal">
      <formula>6</formula>
    </cfRule>
    <cfRule type="cellIs" dxfId="2868" priority="277" operator="equal">
      <formula>4</formula>
    </cfRule>
    <cfRule type="cellIs" dxfId="2867" priority="276" operator="equal">
      <formula>3</formula>
    </cfRule>
    <cfRule type="cellIs" dxfId="2866" priority="275" operator="equal">
      <formula>2</formula>
    </cfRule>
    <cfRule type="cellIs" dxfId="2865" priority="273" operator="equal">
      <formula>"x"</formula>
    </cfRule>
    <cfRule type="cellIs" dxfId="2864" priority="278" operator="equal">
      <formula>5</formula>
    </cfRule>
    <cfRule type="cellIs" dxfId="2863" priority="270" operator="equal">
      <formula>6</formula>
    </cfRule>
    <cfRule type="cellIs" dxfId="2862" priority="269" operator="equal">
      <formula>5</formula>
    </cfRule>
    <cfRule type="cellIs" dxfId="2861" priority="268" operator="equal">
      <formula>4</formula>
    </cfRule>
    <cfRule type="cellIs" dxfId="2860" priority="267" operator="equal">
      <formula>3</formula>
    </cfRule>
    <cfRule type="cellIs" dxfId="2859" priority="266" operator="equal">
      <formula>2</formula>
    </cfRule>
    <cfRule type="cellIs" dxfId="2858" priority="271" operator="equal">
      <formula>7</formula>
    </cfRule>
  </conditionalFormatting>
  <conditionalFormatting sqref="G20">
    <cfRule type="cellIs" dxfId="2857" priority="265" operator="equal">
      <formula>6</formula>
    </cfRule>
    <cfRule type="cellIs" dxfId="2856" priority="253" operator="equal">
      <formula>3</formula>
    </cfRule>
    <cfRule type="cellIs" dxfId="2855" priority="264" operator="equal">
      <formula>5</formula>
    </cfRule>
    <cfRule type="cellIs" dxfId="2854" priority="263" operator="equal">
      <formula>4</formula>
    </cfRule>
    <cfRule type="cellIs" dxfId="2853" priority="262" operator="equal">
      <formula>3</formula>
    </cfRule>
    <cfRule type="cellIs" dxfId="2852" priority="261" operator="equal">
      <formula>2</formula>
    </cfRule>
    <cfRule type="cellIs" dxfId="2851" priority="260" operator="equal">
      <formula>1</formula>
    </cfRule>
    <cfRule type="cellIs" dxfId="2850" priority="259" operator="equal">
      <formula>"x"</formula>
    </cfRule>
    <cfRule type="cellIs" dxfId="2849" priority="257" operator="equal">
      <formula>7</formula>
    </cfRule>
    <cfRule type="cellIs" dxfId="2848" priority="256" operator="equal">
      <formula>6</formula>
    </cfRule>
    <cfRule type="cellIs" dxfId="2847" priority="255" operator="equal">
      <formula>5</formula>
    </cfRule>
    <cfRule type="cellIs" dxfId="2846" priority="254" operator="equal">
      <formula>4</formula>
    </cfRule>
    <cfRule type="cellIs" dxfId="2845" priority="252" operator="equal">
      <formula>2</formula>
    </cfRule>
  </conditionalFormatting>
  <conditionalFormatting sqref="G22 G24 G26 G28 G30 G32 G34 G36">
    <cfRule type="cellIs" dxfId="2844" priority="238" operator="equal">
      <formula>2</formula>
    </cfRule>
    <cfRule type="cellIs" dxfId="2843" priority="239" operator="equal">
      <formula>3</formula>
    </cfRule>
    <cfRule type="cellIs" dxfId="2842" priority="240" operator="equal">
      <formula>4</formula>
    </cfRule>
    <cfRule type="cellIs" dxfId="2841" priority="241" operator="equal">
      <formula>5</formula>
    </cfRule>
    <cfRule type="cellIs" dxfId="2840" priority="251" operator="equal">
      <formula>6</formula>
    </cfRule>
    <cfRule type="cellIs" dxfId="2839" priority="250" operator="equal">
      <formula>5</formula>
    </cfRule>
    <cfRule type="cellIs" dxfId="2838" priority="249" operator="equal">
      <formula>4</formula>
    </cfRule>
    <cfRule type="cellIs" dxfId="2837" priority="248" operator="equal">
      <formula>3</formula>
    </cfRule>
    <cfRule type="cellIs" dxfId="2836" priority="247" operator="equal">
      <formula>2</formula>
    </cfRule>
    <cfRule type="cellIs" dxfId="2835" priority="246" operator="equal">
      <formula>1</formula>
    </cfRule>
    <cfRule type="cellIs" dxfId="2834" priority="245" operator="equal">
      <formula>"x"</formula>
    </cfRule>
    <cfRule type="cellIs" dxfId="2833" priority="243" operator="equal">
      <formula>7</formula>
    </cfRule>
    <cfRule type="cellIs" dxfId="2832" priority="242" operator="equal">
      <formula>6</formula>
    </cfRule>
  </conditionalFormatting>
  <conditionalFormatting sqref="G38">
    <cfRule type="cellIs" dxfId="2831" priority="226" operator="equal">
      <formula>4</formula>
    </cfRule>
    <cfRule type="cellIs" dxfId="2830" priority="227" operator="equal">
      <formula>5</formula>
    </cfRule>
    <cfRule type="cellIs" dxfId="2829" priority="229" operator="equal">
      <formula>7</formula>
    </cfRule>
    <cfRule type="cellIs" dxfId="2828" priority="231" operator="equal">
      <formula>"x"</formula>
    </cfRule>
    <cfRule type="cellIs" dxfId="2827" priority="232" operator="equal">
      <formula>1</formula>
    </cfRule>
    <cfRule type="cellIs" dxfId="2826" priority="233" operator="equal">
      <formula>2</formula>
    </cfRule>
    <cfRule type="cellIs" dxfId="2825" priority="235" operator="equal">
      <formula>4</formula>
    </cfRule>
    <cfRule type="cellIs" dxfId="2824" priority="236" operator="equal">
      <formula>5</formula>
    </cfRule>
    <cfRule type="cellIs" dxfId="2823" priority="228" operator="equal">
      <formula>6</formula>
    </cfRule>
    <cfRule type="cellIs" dxfId="2822" priority="237" operator="equal">
      <formula>6</formula>
    </cfRule>
    <cfRule type="cellIs" dxfId="2821" priority="224" operator="equal">
      <formula>2</formula>
    </cfRule>
    <cfRule type="cellIs" dxfId="2820" priority="225" operator="equal">
      <formula>3</formula>
    </cfRule>
    <cfRule type="cellIs" dxfId="2819" priority="234" operator="equal">
      <formula>3</formula>
    </cfRule>
  </conditionalFormatting>
  <conditionalFormatting sqref="G8:H8 G10:H10 G12:H12 G14:H14 G16:H16 G18:H18 G20:H20 G22:H22 G24:H24 G26:H26 G28:H28 G30:H30 G32:H32 G34:H34 G36:H36 G38:H38">
    <cfRule type="cellIs" dxfId="2818" priority="167" operator="equal">
      <formula>1</formula>
    </cfRule>
  </conditionalFormatting>
  <conditionalFormatting sqref="H8 H10 H12 H14 H16 H18 H20 H22 H24 H26 H28 H30 H32 H34 H36 H38">
    <cfRule type="cellIs" dxfId="2817" priority="171" operator="equal">
      <formula>5</formula>
    </cfRule>
    <cfRule type="cellIs" dxfId="2816" priority="170" operator="equal">
      <formula>4</formula>
    </cfRule>
    <cfRule type="cellIs" dxfId="2815" priority="166" operator="equal">
      <formula>0</formula>
    </cfRule>
    <cfRule type="cellIs" dxfId="2814" priority="168" operator="equal">
      <formula>2</formula>
    </cfRule>
    <cfRule type="cellIs" dxfId="2813" priority="169" operator="equal">
      <formula>3</formula>
    </cfRule>
  </conditionalFormatting>
  <conditionalFormatting sqref="H60:S75">
    <cfRule type="cellIs" dxfId="2812" priority="155" operator="equal">
      <formula>0</formula>
    </cfRule>
    <cfRule type="cellIs" dxfId="2811" priority="162" operator="equal">
      <formula>2</formula>
    </cfRule>
    <cfRule type="cellIs" dxfId="2810" priority="161" operator="equal">
      <formula>1</formula>
    </cfRule>
    <cfRule type="cellIs" dxfId="2809" priority="163" operator="equal">
      <formula>3</formula>
    </cfRule>
    <cfRule type="cellIs" dxfId="2808" priority="164" operator="equal">
      <formula>4</formula>
    </cfRule>
    <cfRule type="cellIs" dxfId="2807" priority="165" operator="equal">
      <formula>5</formula>
    </cfRule>
  </conditionalFormatting>
  <conditionalFormatting sqref="H110:S125">
    <cfRule type="cellIs" dxfId="2806" priority="149" operator="equal">
      <formula>0</formula>
    </cfRule>
    <cfRule type="cellIs" dxfId="2805" priority="150" operator="equal">
      <formula>1</formula>
    </cfRule>
    <cfRule type="cellIs" dxfId="2804" priority="151" operator="equal">
      <formula>2</formula>
    </cfRule>
    <cfRule type="cellIs" dxfId="2803" priority="152" operator="equal">
      <formula>3</formula>
    </cfRule>
    <cfRule type="cellIs" dxfId="2802" priority="154" operator="equal">
      <formula>5</formula>
    </cfRule>
    <cfRule type="cellIs" dxfId="2801" priority="153" operator="equal">
      <formula>4</formula>
    </cfRule>
  </conditionalFormatting>
  <conditionalFormatting sqref="H160:S175">
    <cfRule type="cellIs" dxfId="2800" priority="146" operator="equal">
      <formula>3</formula>
    </cfRule>
    <cfRule type="cellIs" dxfId="2799" priority="147" operator="equal">
      <formula>4</formula>
    </cfRule>
    <cfRule type="cellIs" dxfId="2798" priority="145" operator="equal">
      <formula>2</formula>
    </cfRule>
    <cfRule type="cellIs" dxfId="2797" priority="148" operator="equal">
      <formula>5</formula>
    </cfRule>
    <cfRule type="cellIs" dxfId="2796" priority="144" operator="equal">
      <formula>1</formula>
    </cfRule>
    <cfRule type="cellIs" dxfId="2795" priority="143" operator="equal">
      <formula>0</formula>
    </cfRule>
  </conditionalFormatting>
  <conditionalFormatting sqref="H210:S225">
    <cfRule type="cellIs" dxfId="2794" priority="142" operator="equal">
      <formula>5</formula>
    </cfRule>
    <cfRule type="cellIs" dxfId="2793" priority="141" operator="equal">
      <formula>4</formula>
    </cfRule>
    <cfRule type="cellIs" dxfId="2792" priority="140" operator="equal">
      <formula>3</formula>
    </cfRule>
    <cfRule type="cellIs" dxfId="2791" priority="139" operator="equal">
      <formula>2</formula>
    </cfRule>
    <cfRule type="cellIs" dxfId="2790" priority="138" operator="equal">
      <formula>1</formula>
    </cfRule>
    <cfRule type="cellIs" dxfId="2789" priority="137" operator="equal">
      <formula>0</formula>
    </cfRule>
  </conditionalFormatting>
  <conditionalFormatting sqref="H260:S275">
    <cfRule type="cellIs" dxfId="2788" priority="132" operator="equal">
      <formula>1</formula>
    </cfRule>
    <cfRule type="cellIs" dxfId="2787" priority="133" operator="equal">
      <formula>2</formula>
    </cfRule>
    <cfRule type="cellIs" dxfId="2786" priority="135" operator="equal">
      <formula>4</formula>
    </cfRule>
    <cfRule type="cellIs" dxfId="2785" priority="136" operator="equal">
      <formula>5</formula>
    </cfRule>
    <cfRule type="cellIs" dxfId="2784" priority="134" operator="equal">
      <formula>3</formula>
    </cfRule>
    <cfRule type="cellIs" dxfId="2783" priority="131" operator="equal">
      <formula>0</formula>
    </cfRule>
  </conditionalFormatting>
  <conditionalFormatting sqref="H310:S325">
    <cfRule type="cellIs" dxfId="2782" priority="127" operator="equal">
      <formula>2</formula>
    </cfRule>
    <cfRule type="cellIs" dxfId="2781" priority="125" operator="equal">
      <formula>0</formula>
    </cfRule>
    <cfRule type="cellIs" dxfId="2780" priority="126" operator="equal">
      <formula>1</formula>
    </cfRule>
    <cfRule type="cellIs" dxfId="2779" priority="130" operator="equal">
      <formula>5</formula>
    </cfRule>
    <cfRule type="cellIs" dxfId="2778" priority="129" operator="equal">
      <formula>4</formula>
    </cfRule>
    <cfRule type="cellIs" dxfId="2777" priority="128" operator="equal">
      <formula>3</formula>
    </cfRule>
  </conditionalFormatting>
  <conditionalFormatting sqref="H360:S375">
    <cfRule type="cellIs" dxfId="2776" priority="123" operator="equal">
      <formula>4</formula>
    </cfRule>
    <cfRule type="cellIs" dxfId="2775" priority="122" operator="equal">
      <formula>3</formula>
    </cfRule>
    <cfRule type="cellIs" dxfId="2774" priority="121" operator="equal">
      <formula>2</formula>
    </cfRule>
    <cfRule type="cellIs" dxfId="2773" priority="120" operator="equal">
      <formula>1</formula>
    </cfRule>
    <cfRule type="cellIs" dxfId="2772" priority="119" operator="equal">
      <formula>0</formula>
    </cfRule>
    <cfRule type="cellIs" dxfId="2771" priority="124" operator="equal">
      <formula>5</formula>
    </cfRule>
  </conditionalFormatting>
  <conditionalFormatting sqref="H410:S425">
    <cfRule type="cellIs" dxfId="2770" priority="118" operator="equal">
      <formula>5</formula>
    </cfRule>
    <cfRule type="cellIs" dxfId="2769" priority="117" operator="equal">
      <formula>4</formula>
    </cfRule>
    <cfRule type="cellIs" dxfId="2768" priority="116" operator="equal">
      <formula>3</formula>
    </cfRule>
    <cfRule type="cellIs" dxfId="2767" priority="115" operator="equal">
      <formula>2</formula>
    </cfRule>
    <cfRule type="cellIs" dxfId="2766" priority="114" operator="equal">
      <formula>1</formula>
    </cfRule>
    <cfRule type="cellIs" dxfId="2765" priority="113" operator="equal">
      <formula>0</formula>
    </cfRule>
  </conditionalFormatting>
  <conditionalFormatting sqref="H460:S475">
    <cfRule type="cellIs" dxfId="2764" priority="111" operator="equal">
      <formula>4</formula>
    </cfRule>
    <cfRule type="cellIs" dxfId="2763" priority="112" operator="equal">
      <formula>5</formula>
    </cfRule>
    <cfRule type="cellIs" dxfId="2762" priority="110" operator="equal">
      <formula>3</formula>
    </cfRule>
    <cfRule type="cellIs" dxfId="2761" priority="109" operator="equal">
      <formula>2</formula>
    </cfRule>
    <cfRule type="cellIs" dxfId="2760" priority="108" operator="equal">
      <formula>1</formula>
    </cfRule>
    <cfRule type="cellIs" dxfId="2759" priority="107" operator="equal">
      <formula>0</formula>
    </cfRule>
  </conditionalFormatting>
  <conditionalFormatting sqref="H510:S525">
    <cfRule type="cellIs" dxfId="2758" priority="102" operator="equal">
      <formula>1</formula>
    </cfRule>
    <cfRule type="cellIs" dxfId="2757" priority="101" operator="equal">
      <formula>0</formula>
    </cfRule>
    <cfRule type="cellIs" dxfId="2756" priority="103" operator="equal">
      <formula>2</formula>
    </cfRule>
    <cfRule type="cellIs" dxfId="2755" priority="106" operator="equal">
      <formula>5</formula>
    </cfRule>
    <cfRule type="cellIs" dxfId="2754" priority="105" operator="equal">
      <formula>4</formula>
    </cfRule>
    <cfRule type="cellIs" dxfId="2753" priority="104" operator="equal">
      <formula>3</formula>
    </cfRule>
  </conditionalFormatting>
  <conditionalFormatting sqref="H560:S575">
    <cfRule type="cellIs" dxfId="2752" priority="97" operator="equal">
      <formula>2</formula>
    </cfRule>
    <cfRule type="cellIs" dxfId="2751" priority="95" operator="equal">
      <formula>0</formula>
    </cfRule>
    <cfRule type="cellIs" dxfId="2750" priority="96" operator="equal">
      <formula>1</formula>
    </cfRule>
    <cfRule type="cellIs" dxfId="2749" priority="98" operator="equal">
      <formula>3</formula>
    </cfRule>
    <cfRule type="cellIs" dxfId="2748" priority="99" operator="equal">
      <formula>4</formula>
    </cfRule>
    <cfRule type="cellIs" dxfId="2747" priority="100" operator="equal">
      <formula>5</formula>
    </cfRule>
  </conditionalFormatting>
  <conditionalFormatting sqref="H610:S625">
    <cfRule type="cellIs" dxfId="2746" priority="89" operator="equal">
      <formula>0</formula>
    </cfRule>
    <cfRule type="cellIs" dxfId="2745" priority="90" operator="equal">
      <formula>1</formula>
    </cfRule>
    <cfRule type="cellIs" dxfId="2744" priority="91" operator="equal">
      <formula>2</formula>
    </cfRule>
    <cfRule type="cellIs" dxfId="2743" priority="92" operator="equal">
      <formula>3</formula>
    </cfRule>
    <cfRule type="cellIs" dxfId="2742" priority="93" operator="equal">
      <formula>4</formula>
    </cfRule>
    <cfRule type="cellIs" dxfId="2741" priority="94" operator="equal">
      <formula>5</formula>
    </cfRule>
  </conditionalFormatting>
  <conditionalFormatting sqref="H660:S675">
    <cfRule type="cellIs" dxfId="2740" priority="85" operator="equal">
      <formula>2</formula>
    </cfRule>
    <cfRule type="cellIs" dxfId="2739" priority="84" operator="equal">
      <formula>1</formula>
    </cfRule>
    <cfRule type="cellIs" dxfId="2738" priority="88" operator="equal">
      <formula>5</formula>
    </cfRule>
    <cfRule type="cellIs" dxfId="2737" priority="87" operator="equal">
      <formula>4</formula>
    </cfRule>
    <cfRule type="cellIs" dxfId="2736" priority="86" operator="equal">
      <formula>3</formula>
    </cfRule>
    <cfRule type="cellIs" dxfId="2735" priority="83" operator="equal">
      <formula>0</formula>
    </cfRule>
  </conditionalFormatting>
  <conditionalFormatting sqref="H710:S725">
    <cfRule type="cellIs" dxfId="2734" priority="81" operator="equal">
      <formula>4</formula>
    </cfRule>
    <cfRule type="cellIs" dxfId="2733" priority="77" operator="equal">
      <formula>0</formula>
    </cfRule>
    <cfRule type="cellIs" dxfId="2732" priority="78" operator="equal">
      <formula>1</formula>
    </cfRule>
    <cfRule type="cellIs" dxfId="2731" priority="79" operator="equal">
      <formula>2</formula>
    </cfRule>
    <cfRule type="cellIs" dxfId="2730" priority="82" operator="equal">
      <formula>5</formula>
    </cfRule>
    <cfRule type="cellIs" dxfId="2729" priority="80" operator="equal">
      <formula>3</formula>
    </cfRule>
  </conditionalFormatting>
  <conditionalFormatting sqref="H760:S775">
    <cfRule type="cellIs" dxfId="2728" priority="72" operator="equal">
      <formula>1</formula>
    </cfRule>
    <cfRule type="cellIs" dxfId="2727" priority="73" operator="equal">
      <formula>2</formula>
    </cfRule>
    <cfRule type="cellIs" dxfId="2726" priority="75" operator="equal">
      <formula>4</formula>
    </cfRule>
    <cfRule type="cellIs" dxfId="2725" priority="74" operator="equal">
      <formula>3</formula>
    </cfRule>
    <cfRule type="cellIs" dxfId="2724" priority="71" operator="equal">
      <formula>0</formula>
    </cfRule>
    <cfRule type="cellIs" dxfId="2723" priority="76" operator="equal">
      <formula>5</formula>
    </cfRule>
  </conditionalFormatting>
  <conditionalFormatting sqref="J8">
    <cfRule type="cellIs" dxfId="2722" priority="187" operator="equal">
      <formula>7</formula>
    </cfRule>
    <cfRule type="cellIs" dxfId="2721" priority="188" operator="equal">
      <formula>1</formula>
    </cfRule>
    <cfRule type="cellIs" dxfId="2720" priority="182" operator="equal">
      <formula>2</formula>
    </cfRule>
    <cfRule type="cellIs" dxfId="2719" priority="183" operator="equal">
      <formula>3</formula>
    </cfRule>
    <cfRule type="cellIs" dxfId="2718" priority="184" operator="equal">
      <formula>4</formula>
    </cfRule>
    <cfRule type="cellIs" dxfId="2717" priority="186" operator="equal">
      <formula>6</formula>
    </cfRule>
    <cfRule type="cellIs" dxfId="2716" priority="192" operator="equal">
      <formula>3</formula>
    </cfRule>
    <cfRule type="cellIs" dxfId="2715" priority="193" operator="equal">
      <formula>4</formula>
    </cfRule>
    <cfRule type="cellIs" dxfId="2714" priority="195" operator="equal">
      <formula>6</formula>
    </cfRule>
    <cfRule type="cellIs" dxfId="2713" priority="194" operator="equal">
      <formula>5</formula>
    </cfRule>
    <cfRule type="cellIs" dxfId="2712" priority="191" operator="equal">
      <formula>2</formula>
    </cfRule>
    <cfRule type="cellIs" dxfId="2711" priority="190" operator="equal">
      <formula>1</formula>
    </cfRule>
    <cfRule type="cellIs" dxfId="2710" priority="189" operator="equal">
      <formula>"x"</formula>
    </cfRule>
    <cfRule type="cellIs" dxfId="2709" priority="185" operator="equal">
      <formula>5</formula>
    </cfRule>
  </conditionalFormatting>
  <conditionalFormatting sqref="J10 J12 J14 J16 J18 J20 J22 J24 J26 J28 J30 J32 J34 J36 J38">
    <cfRule type="cellIs" dxfId="2708" priority="212" operator="equal">
      <formula>4</formula>
    </cfRule>
    <cfRule type="cellIs" dxfId="2707" priority="214" operator="equal">
      <formula>6</formula>
    </cfRule>
    <cfRule type="cellIs" dxfId="2706" priority="215" operator="equal">
      <formula>7</formula>
    </cfRule>
    <cfRule type="cellIs" dxfId="2705" priority="216" operator="equal">
      <formula>1</formula>
    </cfRule>
    <cfRule type="cellIs" dxfId="2704" priority="213" operator="equal">
      <formula>5</formula>
    </cfRule>
    <cfRule type="cellIs" dxfId="2703" priority="210" operator="equal">
      <formula>2</formula>
    </cfRule>
    <cfRule type="cellIs" dxfId="2702" priority="211" operator="equal">
      <formula>3</formula>
    </cfRule>
    <cfRule type="cellIs" dxfId="2701" priority="217" operator="equal">
      <formula>"x"</formula>
    </cfRule>
    <cfRule type="cellIs" dxfId="2700" priority="218" operator="equal">
      <formula>1</formula>
    </cfRule>
    <cfRule type="cellIs" dxfId="2699" priority="219" operator="equal">
      <formula>2</formula>
    </cfRule>
    <cfRule type="cellIs" dxfId="2698" priority="220" operator="equal">
      <formula>3</formula>
    </cfRule>
    <cfRule type="cellIs" dxfId="2697" priority="221" operator="equal">
      <formula>4</formula>
    </cfRule>
    <cfRule type="cellIs" dxfId="2696" priority="222" operator="equal">
      <formula>5</formula>
    </cfRule>
    <cfRule type="cellIs" dxfId="2695" priority="223" operator="equal">
      <formula>6</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06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LEGENDA!$B$5:$B$10</xm:f>
          </x14:formula1>
          <xm:sqref>H8:I9</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35">
    <tabColor rgb="FF2FFF74"/>
    <pageSetUpPr fitToPage="1"/>
  </sheetPr>
  <dimension ref="A1:AO792"/>
  <sheetViews>
    <sheetView topLeftCell="B1" zoomScale="80" zoomScaleNormal="80" zoomScalePageLayoutView="80" workbookViewId="0">
      <pane ySplit="2" topLeftCell="A3" activePane="bottomLeft" state="frozen"/>
      <selection activeCell="B8" sqref="B8"/>
      <selection pane="bottomLeft" activeCell="H8" sqref="H8:I9"/>
    </sheetView>
  </sheetViews>
  <sheetFormatPr defaultColWidth="8.54296875" defaultRowHeight="14.5" x14ac:dyDescent="0.35"/>
  <cols>
    <col min="1" max="1" width="31.453125" style="27" hidden="1" customWidth="1"/>
    <col min="2" max="2" width="23.453125" style="5" customWidth="1"/>
    <col min="3" max="3" width="2.45312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
        <v>122</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123</v>
      </c>
      <c r="M4" s="383"/>
      <c r="N4" s="383"/>
      <c r="O4" s="384"/>
      <c r="P4" s="382" t="s">
        <v>124</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c r="E8" s="353" t="e">
        <f ca="1">LEFT(L2,5)</f>
        <v>#NAME?</v>
      </c>
      <c r="F8" s="355"/>
      <c r="G8" s="357" t="e">
        <f ca="1">H4</f>
        <v>#REF!</v>
      </c>
      <c r="H8" s="359"/>
      <c r="I8" s="360"/>
      <c r="J8" s="363"/>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59"/>
      <c r="B10" s="16"/>
      <c r="C10"/>
      <c r="D10" s="376"/>
      <c r="E10" s="325" t="e">
        <f ca="1">HYPERLINK("#B"&amp;TEXT($A$3+$A$4*((ROW()-$A$5)/2),"##"),LEFT($L$2,5)&amp;"."&amp;TEXT((ROW()-$A$5)/2,"0#"))</f>
        <v>#NAME?</v>
      </c>
      <c r="F10" s="406"/>
      <c r="G10" s="403"/>
      <c r="H10" s="345"/>
      <c r="I10" s="346"/>
      <c r="J10" s="304"/>
      <c r="K10" s="304"/>
      <c r="L10" s="408"/>
      <c r="M10" s="409"/>
      <c r="N10" s="409"/>
      <c r="O10" s="409"/>
      <c r="P10" s="410"/>
      <c r="Q10" s="351"/>
      <c r="R10" s="351"/>
      <c r="S10" s="352"/>
      <c r="T10" s="5"/>
      <c r="U10" s="199">
        <v>0</v>
      </c>
      <c r="V10" s="200" t="s">
        <v>21</v>
      </c>
    </row>
    <row r="11" spans="1:22" ht="15.75" customHeight="1" x14ac:dyDescent="0.35">
      <c r="A11" s="59"/>
      <c r="B11" s="16"/>
      <c r="C11"/>
      <c r="D11" s="376"/>
      <c r="E11" s="326"/>
      <c r="F11" s="407"/>
      <c r="G11" s="404"/>
      <c r="H11" s="302"/>
      <c r="I11" s="303"/>
      <c r="J11" s="305"/>
      <c r="K11" s="305"/>
      <c r="L11" s="408"/>
      <c r="M11" s="409"/>
      <c r="N11" s="409"/>
      <c r="O11" s="409"/>
      <c r="P11" s="410"/>
      <c r="Q11" s="310"/>
      <c r="R11" s="310"/>
      <c r="S11" s="311"/>
      <c r="T11" s="5"/>
      <c r="U11" s="33">
        <v>1</v>
      </c>
      <c r="V11" s="201" t="s">
        <v>22</v>
      </c>
    </row>
    <row r="12" spans="1:22" ht="15.75" customHeight="1" x14ac:dyDescent="0.35">
      <c r="A12" s="16"/>
      <c r="B12" s="16"/>
      <c r="C12"/>
      <c r="D12" s="376"/>
      <c r="E12" s="325" t="e">
        <f ca="1">HYPERLINK("#B"&amp;TEXT($A$3+$A$4*((ROW()-$A$5)/2),"##"),LEFT($L$2,5)&amp;"."&amp;TEXT((ROW()-$A$5)/2,"0#"))</f>
        <v>#NAME?</v>
      </c>
      <c r="F12" s="402"/>
      <c r="G12" s="403"/>
      <c r="H12" s="300"/>
      <c r="I12" s="301"/>
      <c r="J12" s="304"/>
      <c r="K12" s="304"/>
      <c r="L12" s="400"/>
      <c r="M12" s="401"/>
      <c r="N12" s="401"/>
      <c r="O12" s="401"/>
      <c r="P12" s="401"/>
      <c r="Q12" s="351"/>
      <c r="R12" s="351"/>
      <c r="S12" s="352"/>
      <c r="T12" s="5"/>
      <c r="U12" s="41">
        <v>2</v>
      </c>
      <c r="V12" s="202" t="s">
        <v>25</v>
      </c>
    </row>
    <row r="13" spans="1:22" ht="15.5" x14ac:dyDescent="0.35">
      <c r="A13" s="16"/>
      <c r="B13" s="16"/>
      <c r="C13"/>
      <c r="D13" s="376"/>
      <c r="E13" s="326"/>
      <c r="F13" s="402"/>
      <c r="G13" s="404"/>
      <c r="H13" s="302"/>
      <c r="I13" s="303"/>
      <c r="J13" s="305"/>
      <c r="K13" s="305"/>
      <c r="L13" s="401"/>
      <c r="M13" s="401"/>
      <c r="N13" s="401"/>
      <c r="O13" s="401"/>
      <c r="P13" s="401"/>
      <c r="Q13" s="310"/>
      <c r="R13" s="310"/>
      <c r="S13" s="311"/>
      <c r="T13" s="5"/>
      <c r="U13" s="38">
        <v>3</v>
      </c>
      <c r="V13" s="203" t="s">
        <v>26</v>
      </c>
    </row>
    <row r="14" spans="1:22" ht="15.75" customHeight="1" x14ac:dyDescent="0.35">
      <c r="A14" s="28"/>
      <c r="B14" s="16"/>
      <c r="C14"/>
      <c r="D14" s="376"/>
      <c r="E14" s="325" t="e">
        <f ca="1">HYPERLINK("#B"&amp;TEXT($A$3+$A$4*((ROW()-$A$5)/2),"##"),LEFT($L$2,5)&amp;"."&amp;TEXT((ROW()-$A$5)/2,"0#"))</f>
        <v>#NAME?</v>
      </c>
      <c r="F14" s="402"/>
      <c r="G14" s="405"/>
      <c r="H14" s="300"/>
      <c r="I14" s="301"/>
      <c r="J14" s="304"/>
      <c r="K14" s="304"/>
      <c r="L14" s="400"/>
      <c r="M14" s="401"/>
      <c r="N14" s="401"/>
      <c r="O14" s="401"/>
      <c r="P14" s="401"/>
      <c r="Q14" s="351"/>
      <c r="R14" s="351"/>
      <c r="S14" s="352"/>
      <c r="T14" s="5"/>
      <c r="U14" s="35">
        <v>4</v>
      </c>
      <c r="V14" s="204" t="s">
        <v>29</v>
      </c>
    </row>
    <row r="15" spans="1:22" ht="15.75" customHeight="1" thickBot="1" x14ac:dyDescent="0.4">
      <c r="A15" s="28"/>
      <c r="B15" s="16"/>
      <c r="C15"/>
      <c r="D15" s="376"/>
      <c r="E15" s="326"/>
      <c r="F15" s="402"/>
      <c r="G15" s="404"/>
      <c r="H15" s="302"/>
      <c r="I15" s="303"/>
      <c r="J15" s="305"/>
      <c r="K15" s="305"/>
      <c r="L15" s="401"/>
      <c r="M15" s="401"/>
      <c r="N15" s="401"/>
      <c r="O15" s="401"/>
      <c r="P15" s="401"/>
      <c r="Q15" s="310"/>
      <c r="R15" s="310"/>
      <c r="S15" s="311"/>
      <c r="T15" s="5"/>
      <c r="U15" s="46">
        <v>5</v>
      </c>
      <c r="V15" s="60" t="s">
        <v>30</v>
      </c>
    </row>
    <row r="16" spans="1:22" ht="15.5" x14ac:dyDescent="0.35">
      <c r="A16" s="28"/>
      <c r="B16" s="16"/>
      <c r="C16"/>
      <c r="D16" s="376"/>
      <c r="E16" s="325" t="e">
        <f ca="1">HYPERLINK("#B"&amp;TEXT($A$3+$A$4*((ROW()-$A$5)/2),"##"),LEFT($L$2,5)&amp;"."&amp;TEXT((ROW()-$A$5)/2,"0#"))</f>
        <v>#NAME?</v>
      </c>
      <c r="F16" s="402"/>
      <c r="G16" s="405"/>
      <c r="H16" s="300"/>
      <c r="I16" s="301"/>
      <c r="J16" s="304"/>
      <c r="K16" s="304"/>
      <c r="L16" s="400"/>
      <c r="M16" s="401"/>
      <c r="N16" s="401"/>
      <c r="O16" s="401"/>
      <c r="P16" s="401"/>
      <c r="Q16" s="351"/>
      <c r="R16" s="351"/>
      <c r="S16" s="352"/>
      <c r="T16" s="5"/>
      <c r="U16" s="5"/>
      <c r="V16" s="5"/>
    </row>
    <row r="17" spans="4:19" x14ac:dyDescent="0.35">
      <c r="D17" s="376"/>
      <c r="E17" s="326"/>
      <c r="F17" s="402"/>
      <c r="G17" s="404"/>
      <c r="H17" s="302"/>
      <c r="I17" s="303"/>
      <c r="J17" s="305"/>
      <c r="K17" s="305"/>
      <c r="L17" s="401"/>
      <c r="M17" s="401"/>
      <c r="N17" s="401"/>
      <c r="O17" s="401"/>
      <c r="P17" s="401"/>
      <c r="Q17" s="310"/>
      <c r="R17" s="310"/>
      <c r="S17" s="311"/>
    </row>
    <row r="18" spans="4:19" ht="15.75" customHeight="1" x14ac:dyDescent="0.35">
      <c r="D18" s="376"/>
      <c r="E18" s="325" t="e">
        <f ca="1">HYPERLINK("#B"&amp;TEXT($A$3+$A$4*((ROW()-$A$5)/2),"##"),LEFT($L$2,5)&amp;"."&amp;TEXT((ROW()-$A$5)/2,"0#"))</f>
        <v>#NAME?</v>
      </c>
      <c r="F18" s="402"/>
      <c r="G18" s="405"/>
      <c r="H18" s="300"/>
      <c r="I18" s="301"/>
      <c r="J18" s="304"/>
      <c r="K18" s="304"/>
      <c r="L18" s="400"/>
      <c r="M18" s="401"/>
      <c r="N18" s="401"/>
      <c r="O18" s="401"/>
      <c r="P18" s="401"/>
      <c r="Q18" s="351"/>
      <c r="R18" s="351"/>
      <c r="S18" s="352"/>
    </row>
    <row r="19" spans="4:19" ht="15.75" customHeight="1" x14ac:dyDescent="0.35">
      <c r="D19" s="376"/>
      <c r="E19" s="326"/>
      <c r="F19" s="402"/>
      <c r="G19" s="404"/>
      <c r="H19" s="302"/>
      <c r="I19" s="303"/>
      <c r="J19" s="305"/>
      <c r="K19" s="305"/>
      <c r="L19" s="401"/>
      <c r="M19" s="401"/>
      <c r="N19" s="401"/>
      <c r="O19" s="401"/>
      <c r="P19" s="401"/>
      <c r="Q19" s="310"/>
      <c r="R19" s="310"/>
      <c r="S19" s="311"/>
    </row>
    <row r="20" spans="4:19" ht="15.75" customHeight="1" x14ac:dyDescent="0.35">
      <c r="D20" s="376"/>
      <c r="E20" s="325" t="e">
        <f ca="1">HYPERLINK("#B"&amp;TEXT($A$3+$A$4*((ROW()-$A$5)/2),"##"),LEFT($L$2,5)&amp;"."&amp;TEXT((ROW()-$A$5)/2,"0#"))</f>
        <v>#NAME?</v>
      </c>
      <c r="F20" s="402"/>
      <c r="G20" s="405"/>
      <c r="H20" s="300"/>
      <c r="I20" s="301"/>
      <c r="J20" s="304"/>
      <c r="K20" s="304"/>
      <c r="L20" s="400"/>
      <c r="M20" s="401"/>
      <c r="N20" s="401"/>
      <c r="O20" s="401"/>
      <c r="P20" s="401"/>
      <c r="Q20" s="310"/>
      <c r="R20" s="310"/>
      <c r="S20" s="311"/>
    </row>
    <row r="21" spans="4:19" ht="15.75" customHeight="1" thickBot="1" x14ac:dyDescent="0.4">
      <c r="D21" s="377"/>
      <c r="E21" s="326"/>
      <c r="F21" s="402"/>
      <c r="G21" s="404"/>
      <c r="H21" s="302"/>
      <c r="I21" s="303"/>
      <c r="J21" s="305"/>
      <c r="K21" s="305"/>
      <c r="L21" s="401"/>
      <c r="M21" s="401"/>
      <c r="N21" s="401"/>
      <c r="O21" s="401"/>
      <c r="P21" s="401"/>
      <c r="Q21" s="310"/>
      <c r="R21" s="310"/>
      <c r="S21" s="311"/>
    </row>
    <row r="22" spans="4:19" ht="15.75" customHeight="1" x14ac:dyDescent="0.35">
      <c r="D22" s="15" t="s">
        <v>37</v>
      </c>
      <c r="E22" s="325" t="e">
        <f ca="1">HYPERLINK("#B"&amp;TEXT($A$3+$A$4*((ROW()-$A$5)/2),"##"),LEFT($L$2,5)&amp;"."&amp;TEXT((ROW()-$A$5)/2,"0#"))</f>
        <v>#NAME?</v>
      </c>
      <c r="F22" s="306"/>
      <c r="G22" s="307"/>
      <c r="H22" s="300"/>
      <c r="I22" s="301"/>
      <c r="J22" s="304"/>
      <c r="K22" s="304"/>
      <c r="L22" s="309"/>
      <c r="M22" s="309"/>
      <c r="N22" s="309"/>
      <c r="O22" s="309"/>
      <c r="P22" s="309"/>
      <c r="Q22" s="310"/>
      <c r="R22" s="310"/>
      <c r="S22" s="311"/>
    </row>
    <row r="23" spans="4:19" ht="15.75" customHeight="1" thickBot="1" x14ac:dyDescent="0.4">
      <c r="D23" s="15" t="s">
        <v>40</v>
      </c>
      <c r="E23" s="326"/>
      <c r="F23" s="306"/>
      <c r="G23" s="308"/>
      <c r="H23" s="302"/>
      <c r="I23" s="303"/>
      <c r="J23" s="305"/>
      <c r="K23" s="305"/>
      <c r="L23" s="309"/>
      <c r="M23" s="309"/>
      <c r="N23" s="309"/>
      <c r="O23" s="309"/>
      <c r="P23" s="309"/>
      <c r="Q23" s="310"/>
      <c r="R23" s="310"/>
      <c r="S23" s="311"/>
    </row>
    <row r="24" spans="4:19" ht="15.75" customHeight="1" x14ac:dyDescent="0.35">
      <c r="D24" s="322"/>
      <c r="E24" s="325" t="e">
        <f ca="1">HYPERLINK("#B"&amp;TEXT($A$3+$A$4*((ROW()-$A$5)/2),"##"),LEFT($L$2,5)&amp;"."&amp;TEXT((ROW()-$A$5)/2,"0#"))</f>
        <v>#NAME?</v>
      </c>
      <c r="F24" s="306"/>
      <c r="G24" s="307"/>
      <c r="H24" s="300"/>
      <c r="I24" s="301"/>
      <c r="J24" s="304"/>
      <c r="K24" s="304"/>
      <c r="L24" s="309"/>
      <c r="M24" s="309"/>
      <c r="N24" s="309"/>
      <c r="O24" s="309"/>
      <c r="P24" s="309"/>
      <c r="Q24" s="310"/>
      <c r="R24" s="310"/>
      <c r="S24" s="311"/>
    </row>
    <row r="25" spans="4:19" ht="15.75" customHeight="1" x14ac:dyDescent="0.35">
      <c r="D25" s="323"/>
      <c r="E25" s="326"/>
      <c r="F25" s="306"/>
      <c r="G25" s="308"/>
      <c r="H25" s="302"/>
      <c r="I25" s="303"/>
      <c r="J25" s="305"/>
      <c r="K25" s="305"/>
      <c r="L25" s="309"/>
      <c r="M25" s="309"/>
      <c r="N25" s="309"/>
      <c r="O25" s="309"/>
      <c r="P25" s="309"/>
      <c r="Q25" s="310"/>
      <c r="R25" s="310"/>
      <c r="S25" s="311"/>
    </row>
    <row r="26" spans="4:19" ht="15.75" customHeight="1" x14ac:dyDescent="0.35">
      <c r="D26" s="323"/>
      <c r="E26" s="325" t="e">
        <f ca="1">HYPERLINK("#B"&amp;TEXT($A$3+$A$4*((ROW()-$A$5)/2),"##"),LEFT($L$2,5)&amp;"."&amp;TEXT((ROW()-$A$5)/2,"0#"))</f>
        <v>#NAME?</v>
      </c>
      <c r="F26" s="306"/>
      <c r="G26" s="307"/>
      <c r="H26" s="300"/>
      <c r="I26" s="301"/>
      <c r="J26" s="304"/>
      <c r="K26" s="304"/>
      <c r="L26" s="328"/>
      <c r="M26" s="309"/>
      <c r="N26" s="309"/>
      <c r="O26" s="309"/>
      <c r="P26" s="309"/>
      <c r="Q26" s="310"/>
      <c r="R26" s="310"/>
      <c r="S26" s="311"/>
    </row>
    <row r="27" spans="4:19" ht="15.75" customHeight="1" thickBot="1" x14ac:dyDescent="0.4">
      <c r="D27" s="327"/>
      <c r="E27" s="326"/>
      <c r="F27" s="306"/>
      <c r="G27" s="308"/>
      <c r="H27" s="302"/>
      <c r="I27" s="303"/>
      <c r="J27" s="305"/>
      <c r="K27" s="305"/>
      <c r="L27" s="309"/>
      <c r="M27" s="309"/>
      <c r="N27" s="309"/>
      <c r="O27" s="309"/>
      <c r="P27" s="309"/>
      <c r="Q27" s="310"/>
      <c r="R27" s="310"/>
      <c r="S27" s="311"/>
    </row>
    <row r="28" spans="4:19" ht="15.75" customHeight="1" x14ac:dyDescent="0.35">
      <c r="D28" s="322"/>
      <c r="E28" s="325" t="e">
        <f ca="1">HYPERLINK("#B"&amp;TEXT($A$3+$A$4*((ROW()-$A$5)/2),"##"),LEFT($L$2,5)&amp;"."&amp;TEXT((ROW()-$A$5)/2,"0#"))</f>
        <v>#NAME?</v>
      </c>
      <c r="F28" s="306"/>
      <c r="G28" s="307"/>
      <c r="H28" s="300"/>
      <c r="I28" s="301"/>
      <c r="J28" s="304"/>
      <c r="K28" s="304"/>
      <c r="L28" s="328"/>
      <c r="M28" s="309"/>
      <c r="N28" s="309"/>
      <c r="O28" s="309"/>
      <c r="P28" s="309"/>
      <c r="Q28" s="310"/>
      <c r="R28" s="310"/>
      <c r="S28" s="311"/>
    </row>
    <row r="29" spans="4:19" ht="15.75" customHeight="1" x14ac:dyDescent="0.35">
      <c r="D29" s="323"/>
      <c r="E29" s="326"/>
      <c r="F29" s="306"/>
      <c r="G29" s="308"/>
      <c r="H29" s="302"/>
      <c r="I29" s="303"/>
      <c r="J29" s="305"/>
      <c r="K29" s="305"/>
      <c r="L29" s="309"/>
      <c r="M29" s="309"/>
      <c r="N29" s="309"/>
      <c r="O29" s="309"/>
      <c r="P29" s="309"/>
      <c r="Q29" s="310"/>
      <c r="R29" s="310"/>
      <c r="S29" s="311"/>
    </row>
    <row r="30" spans="4:19" ht="15.75" customHeight="1" x14ac:dyDescent="0.35">
      <c r="D30" s="323"/>
      <c r="E30" s="325" t="e">
        <f ca="1">HYPERLINK("#B"&amp;TEXT($A$3+$A$4*((ROW()-$A$5)/2),"##"),LEFT($L$2,5)&amp;"."&amp;TEXT((ROW()-$A$5)/2,"0#"))</f>
        <v>#NAME?</v>
      </c>
      <c r="F30" s="306"/>
      <c r="G30" s="307"/>
      <c r="H30" s="300"/>
      <c r="I30" s="301"/>
      <c r="J30" s="304"/>
      <c r="K30" s="304"/>
      <c r="L30" s="309"/>
      <c r="M30" s="309"/>
      <c r="N30" s="309"/>
      <c r="O30" s="309"/>
      <c r="P30" s="309"/>
      <c r="Q30" s="310"/>
      <c r="R30" s="310"/>
      <c r="S30" s="311"/>
    </row>
    <row r="31" spans="4:19" ht="15.75" customHeight="1" thickBot="1" x14ac:dyDescent="0.4">
      <c r="D31" s="327"/>
      <c r="E31" s="326"/>
      <c r="F31" s="306"/>
      <c r="G31" s="308"/>
      <c r="H31" s="302"/>
      <c r="I31" s="303"/>
      <c r="J31" s="305"/>
      <c r="K31" s="305"/>
      <c r="L31" s="309"/>
      <c r="M31" s="309"/>
      <c r="N31" s="309"/>
      <c r="O31" s="309"/>
      <c r="P31" s="309"/>
      <c r="Q31" s="310"/>
      <c r="R31" s="310"/>
      <c r="S31" s="311"/>
    </row>
    <row r="32" spans="4:19" ht="15.75" customHeight="1" x14ac:dyDescent="0.35">
      <c r="D32" s="322"/>
      <c r="E32" s="325" t="e">
        <f ca="1">HYPERLINK("#B"&amp;TEXT($A$3+$A$4*((ROW()-$A$5)/2),"##"),LEFT($L$2,5)&amp;"."&amp;TEXT((ROW()-$A$5)/2,"0#"))</f>
        <v>#NAME?</v>
      </c>
      <c r="F32" s="306"/>
      <c r="G32" s="307"/>
      <c r="H32" s="300"/>
      <c r="I32" s="301"/>
      <c r="J32" s="304"/>
      <c r="K32" s="304"/>
      <c r="L32" s="309"/>
      <c r="M32" s="309"/>
      <c r="N32" s="309"/>
      <c r="O32" s="309"/>
      <c r="P32" s="309"/>
      <c r="Q32" s="310"/>
      <c r="R32" s="310"/>
      <c r="S32" s="311"/>
    </row>
    <row r="33" spans="4:19" ht="15.75" customHeight="1" x14ac:dyDescent="0.35">
      <c r="D33" s="323"/>
      <c r="E33" s="326"/>
      <c r="F33" s="306"/>
      <c r="G33" s="308"/>
      <c r="H33" s="302"/>
      <c r="I33" s="303"/>
      <c r="J33" s="305"/>
      <c r="K33" s="305"/>
      <c r="L33" s="309"/>
      <c r="M33" s="309"/>
      <c r="N33" s="309"/>
      <c r="O33" s="309"/>
      <c r="P33" s="309"/>
      <c r="Q33" s="310"/>
      <c r="R33" s="310"/>
      <c r="S33" s="311"/>
    </row>
    <row r="34" spans="4:19" ht="15.75" customHeight="1" x14ac:dyDescent="0.35">
      <c r="D34" s="323"/>
      <c r="E34" s="325" t="e">
        <f ca="1">HYPERLINK("#B"&amp;TEXT($A$3+$A$4*((ROW()-$A$5)/2),"##"),LEFT($L$2,5)&amp;"."&amp;TEXT((ROW()-$A$5)/2,"0#"))</f>
        <v>#NAME?</v>
      </c>
      <c r="F34" s="306"/>
      <c r="G34" s="307"/>
      <c r="H34" s="300"/>
      <c r="I34" s="301"/>
      <c r="J34" s="304"/>
      <c r="K34" s="304"/>
      <c r="L34" s="309"/>
      <c r="M34" s="309"/>
      <c r="N34" s="309"/>
      <c r="O34" s="309"/>
      <c r="P34" s="309"/>
      <c r="Q34" s="310"/>
      <c r="R34" s="310"/>
      <c r="S34" s="311"/>
    </row>
    <row r="35" spans="4:19" ht="15.75" customHeight="1" thickBot="1" x14ac:dyDescent="0.4">
      <c r="D35" s="327"/>
      <c r="E35" s="326"/>
      <c r="F35" s="306"/>
      <c r="G35" s="308"/>
      <c r="H35" s="302"/>
      <c r="I35" s="303"/>
      <c r="J35" s="305"/>
      <c r="K35" s="305"/>
      <c r="L35" s="309"/>
      <c r="M35" s="309"/>
      <c r="N35" s="309"/>
      <c r="O35" s="309"/>
      <c r="P35" s="309"/>
      <c r="Q35" s="310"/>
      <c r="R35" s="310"/>
      <c r="S35" s="311"/>
    </row>
    <row r="36" spans="4:19" ht="15.75" customHeight="1" x14ac:dyDescent="0.35">
      <c r="D36" s="322"/>
      <c r="E36" s="325" t="e">
        <f ca="1">HYPERLINK("#B"&amp;TEXT($A$3+$A$4*((ROW()-$A$5)/2),"##"),LEFT($L$2,5)&amp;"."&amp;TEXT((ROW()-$A$5)/2,"0#"))</f>
        <v>#NAME?</v>
      </c>
      <c r="F36" s="306"/>
      <c r="G36" s="307"/>
      <c r="H36" s="300"/>
      <c r="I36" s="301"/>
      <c r="J36" s="304"/>
      <c r="K36" s="304"/>
      <c r="L36" s="309"/>
      <c r="M36" s="309"/>
      <c r="N36" s="309"/>
      <c r="O36" s="309"/>
      <c r="P36" s="309"/>
      <c r="Q36" s="310"/>
      <c r="R36" s="310"/>
      <c r="S36" s="311"/>
    </row>
    <row r="37" spans="4:19" ht="15.75" customHeight="1" x14ac:dyDescent="0.35">
      <c r="D37" s="323"/>
      <c r="E37" s="326"/>
      <c r="F37" s="306"/>
      <c r="G37" s="308"/>
      <c r="H37" s="302"/>
      <c r="I37" s="303"/>
      <c r="J37" s="305"/>
      <c r="K37" s="305"/>
      <c r="L37" s="309"/>
      <c r="M37" s="309"/>
      <c r="N37" s="309"/>
      <c r="O37" s="309"/>
      <c r="P37" s="309"/>
      <c r="Q37" s="310"/>
      <c r="R37" s="310"/>
      <c r="S37" s="311"/>
    </row>
    <row r="38" spans="4:19" ht="15.75" customHeight="1" x14ac:dyDescent="0.35">
      <c r="D38" s="323"/>
      <c r="E38" s="312" t="e">
        <f ca="1">HYPERLINK("#B"&amp;TEXT($A$3+$A$4*((ROW()-$A$5)/2),"##"),LEFT($L$2,5)&amp;"."&amp;TEXT((ROW()-$A$5)/2,"0#"))</f>
        <v>#NAME?</v>
      </c>
      <c r="F38" s="306"/>
      <c r="G38" s="307"/>
      <c r="H38" s="300"/>
      <c r="I38" s="301"/>
      <c r="J38" s="305"/>
      <c r="K38" s="305"/>
      <c r="L38" s="309"/>
      <c r="M38" s="309"/>
      <c r="N38" s="309"/>
      <c r="O38" s="309"/>
      <c r="P38" s="309"/>
      <c r="Q38" s="310"/>
      <c r="R38" s="310"/>
      <c r="S38" s="311"/>
    </row>
    <row r="39" spans="4:19" ht="15.75" customHeight="1" thickBot="1" x14ac:dyDescent="0.4">
      <c r="D39" s="324"/>
      <c r="E39" s="313"/>
      <c r="F39" s="314"/>
      <c r="G39" s="315"/>
      <c r="H39" s="316"/>
      <c r="I39" s="317"/>
      <c r="J39" s="318"/>
      <c r="K39" s="318"/>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f ca="1">OFFSET($G$7,2*(D53+1)-1,0)</f>
        <v>0</v>
      </c>
      <c r="L56" s="234"/>
      <c r="M56" s="235"/>
      <c r="N56" s="394" t="s">
        <v>125</v>
      </c>
      <c r="O56" s="395"/>
      <c r="P56" s="396"/>
      <c r="Q56" s="236" t="s">
        <v>124</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c r="E60" s="96" t="s">
        <v>77</v>
      </c>
      <c r="F60" s="97" t="s">
        <v>78</v>
      </c>
      <c r="G60" s="65"/>
      <c r="H60" s="68"/>
      <c r="I60" s="68"/>
      <c r="J60" s="68"/>
      <c r="K60" s="68"/>
      <c r="L60" s="68"/>
      <c r="M60" s="68"/>
      <c r="N60" s="68"/>
      <c r="O60" s="68"/>
      <c r="P60" s="68"/>
      <c r="Q60" s="68"/>
      <c r="R60" s="68"/>
      <c r="S60" s="69"/>
      <c r="U60" s="289"/>
      <c r="V60" s="290"/>
    </row>
    <row r="61" spans="1:22" ht="15" thickBot="1" x14ac:dyDescent="0.4">
      <c r="A61" s="8" t="s">
        <v>75</v>
      </c>
      <c r="C61"/>
      <c r="D61" s="251"/>
      <c r="E61" s="70" t="s">
        <v>79</v>
      </c>
      <c r="F61" s="12"/>
      <c r="G61" s="26"/>
      <c r="H61" s="73"/>
      <c r="I61" s="73"/>
      <c r="J61" s="73"/>
      <c r="K61" s="73"/>
      <c r="L61" s="73"/>
      <c r="M61" s="73"/>
      <c r="N61" s="73"/>
      <c r="O61" s="73"/>
      <c r="P61" s="73"/>
      <c r="Q61" s="73"/>
      <c r="R61" s="73"/>
      <c r="S61" s="73"/>
      <c r="U61" s="199">
        <v>0</v>
      </c>
      <c r="V61" s="200" t="s">
        <v>21</v>
      </c>
    </row>
    <row r="62" spans="1:22" ht="15" thickBot="1" x14ac:dyDescent="0.4">
      <c r="A62" s="8" t="s">
        <v>75</v>
      </c>
      <c r="C62"/>
      <c r="D62" s="251"/>
      <c r="E62" s="77" t="s">
        <v>81</v>
      </c>
      <c r="F62" s="12"/>
      <c r="G62" s="26"/>
      <c r="H62" s="73"/>
      <c r="I62" s="73"/>
      <c r="J62" s="73"/>
      <c r="K62" s="73"/>
      <c r="L62" s="73"/>
      <c r="M62" s="73"/>
      <c r="N62" s="73"/>
      <c r="O62" s="73"/>
      <c r="P62" s="73"/>
      <c r="Q62" s="73"/>
      <c r="R62" s="73"/>
      <c r="S62" s="73"/>
      <c r="U62" s="33">
        <v>1</v>
      </c>
      <c r="V62" s="201" t="s">
        <v>22</v>
      </c>
    </row>
    <row r="63" spans="1:22" ht="15" thickBot="1" x14ac:dyDescent="0.4">
      <c r="A63" s="8" t="s">
        <v>75</v>
      </c>
      <c r="C63"/>
      <c r="D63" s="251"/>
      <c r="E63" s="77" t="s">
        <v>83</v>
      </c>
      <c r="F63" s="12"/>
      <c r="G63" s="26"/>
      <c r="H63" s="73"/>
      <c r="I63" s="73"/>
      <c r="J63" s="73"/>
      <c r="K63" s="73"/>
      <c r="L63" s="73"/>
      <c r="M63" s="73"/>
      <c r="N63" s="73"/>
      <c r="O63" s="73"/>
      <c r="P63" s="73"/>
      <c r="Q63" s="73"/>
      <c r="R63" s="73"/>
      <c r="S63" s="73"/>
      <c r="U63" s="41">
        <v>2</v>
      </c>
      <c r="V63" s="202" t="s">
        <v>25</v>
      </c>
    </row>
    <row r="64" spans="1:22" ht="15" thickBot="1" x14ac:dyDescent="0.4">
      <c r="A64" s="5" t="s">
        <v>75</v>
      </c>
      <c r="C64"/>
      <c r="D64" s="251"/>
      <c r="E64" s="77" t="s">
        <v>85</v>
      </c>
      <c r="F64" s="12"/>
      <c r="G64" s="26"/>
      <c r="H64" s="73"/>
      <c r="I64" s="73"/>
      <c r="J64" s="73"/>
      <c r="K64" s="73"/>
      <c r="L64" s="73"/>
      <c r="M64" s="73"/>
      <c r="N64" s="73"/>
      <c r="O64" s="73"/>
      <c r="P64" s="73"/>
      <c r="Q64" s="73"/>
      <c r="R64" s="73"/>
      <c r="S64" s="73"/>
      <c r="U64" s="38">
        <v>3</v>
      </c>
      <c r="V64" s="203" t="s">
        <v>26</v>
      </c>
    </row>
    <row r="65" spans="1:22" ht="15" thickBot="1" x14ac:dyDescent="0.4">
      <c r="A65" s="5" t="s">
        <v>75</v>
      </c>
      <c r="C65"/>
      <c r="D65" s="252"/>
      <c r="E65" s="77" t="s">
        <v>87</v>
      </c>
      <c r="F65" s="12"/>
      <c r="G65" s="26"/>
      <c r="H65" s="73"/>
      <c r="I65" s="73"/>
      <c r="J65" s="73"/>
      <c r="K65" s="73"/>
      <c r="L65" s="73"/>
      <c r="M65" s="73"/>
      <c r="N65" s="73"/>
      <c r="O65" s="73"/>
      <c r="P65" s="73"/>
      <c r="Q65" s="73"/>
      <c r="R65" s="73"/>
      <c r="S65" s="73"/>
      <c r="U65" s="35">
        <v>4</v>
      </c>
      <c r="V65" s="204" t="s">
        <v>29</v>
      </c>
    </row>
    <row r="66" spans="1:22" ht="15" thickBot="1" x14ac:dyDescent="0.4">
      <c r="A66" s="5" t="s">
        <v>75</v>
      </c>
      <c r="C66"/>
      <c r="D66" s="253" t="s">
        <v>37</v>
      </c>
      <c r="E66" s="77" t="s">
        <v>89</v>
      </c>
      <c r="F66" s="12"/>
      <c r="G66" s="26"/>
      <c r="H66" s="73"/>
      <c r="I66" s="73"/>
      <c r="J66" s="73"/>
      <c r="K66" s="73"/>
      <c r="L66" s="73"/>
      <c r="M66" s="73"/>
      <c r="N66" s="73"/>
      <c r="O66" s="73"/>
      <c r="P66" s="73"/>
      <c r="Q66" s="73"/>
      <c r="R66" s="73"/>
      <c r="S66" s="73"/>
      <c r="U66" s="46">
        <v>5</v>
      </c>
      <c r="V66" s="60" t="s">
        <v>30</v>
      </c>
    </row>
    <row r="67" spans="1:22" ht="15" thickBot="1" x14ac:dyDescent="0.4">
      <c r="A67" s="5" t="s">
        <v>75</v>
      </c>
      <c r="C67"/>
      <c r="D67" s="253"/>
      <c r="E67" s="77" t="s">
        <v>91</v>
      </c>
      <c r="F67" s="12"/>
      <c r="G67" s="26"/>
      <c r="H67" s="73"/>
      <c r="I67" s="73"/>
      <c r="J67" s="73"/>
      <c r="K67" s="73"/>
      <c r="L67" s="73"/>
      <c r="M67" s="73"/>
      <c r="N67" s="73"/>
      <c r="O67" s="73"/>
      <c r="P67" s="73"/>
      <c r="Q67" s="73"/>
      <c r="R67" s="73"/>
      <c r="S67" s="73"/>
    </row>
    <row r="68" spans="1:22" ht="15.75" customHeight="1" thickBot="1" x14ac:dyDescent="0.4">
      <c r="A68" s="5" t="s">
        <v>75</v>
      </c>
      <c r="C68"/>
      <c r="D68" s="243"/>
      <c r="E68" s="77" t="s">
        <v>94</v>
      </c>
      <c r="F68" s="12"/>
      <c r="G68" s="26"/>
      <c r="H68" s="73"/>
      <c r="I68" s="73"/>
      <c r="J68" s="73"/>
      <c r="K68" s="73"/>
      <c r="L68" s="73"/>
      <c r="M68" s="73"/>
      <c r="N68" s="73"/>
      <c r="O68" s="73"/>
      <c r="P68" s="73"/>
      <c r="Q68" s="73"/>
      <c r="R68" s="73"/>
      <c r="S68" s="73"/>
    </row>
    <row r="69" spans="1:22" ht="15" thickBot="1" x14ac:dyDescent="0.4">
      <c r="A69" s="5" t="s">
        <v>75</v>
      </c>
      <c r="C69"/>
      <c r="D69" s="246"/>
      <c r="E69" s="77" t="s">
        <v>96</v>
      </c>
      <c r="F69" s="12"/>
      <c r="G69" s="26"/>
      <c r="H69" s="73"/>
      <c r="I69" s="73"/>
      <c r="J69" s="73"/>
      <c r="K69" s="73"/>
      <c r="L69" s="73"/>
      <c r="M69" s="73"/>
      <c r="N69" s="73"/>
      <c r="O69" s="73"/>
      <c r="P69" s="73"/>
      <c r="Q69" s="73"/>
      <c r="R69" s="73"/>
      <c r="S69" s="73"/>
    </row>
    <row r="70" spans="1:22" ht="15" thickBot="1" x14ac:dyDescent="0.4">
      <c r="A70" s="5" t="s">
        <v>75</v>
      </c>
      <c r="C70"/>
      <c r="D70" s="245"/>
      <c r="E70" s="77" t="s">
        <v>99</v>
      </c>
      <c r="F70" s="12"/>
      <c r="G70" s="26"/>
      <c r="H70" s="73"/>
      <c r="I70" s="73"/>
      <c r="J70" s="73"/>
      <c r="K70" s="73"/>
      <c r="L70" s="73"/>
      <c r="M70" s="73"/>
      <c r="N70" s="73"/>
      <c r="O70" s="73"/>
      <c r="P70" s="73"/>
      <c r="Q70" s="73"/>
      <c r="R70" s="73"/>
      <c r="S70" s="73"/>
    </row>
    <row r="71" spans="1:22" ht="15" thickBot="1" x14ac:dyDescent="0.4">
      <c r="A71" s="5" t="s">
        <v>75</v>
      </c>
      <c r="C71"/>
      <c r="D71" s="246"/>
      <c r="E71" s="77" t="s">
        <v>101</v>
      </c>
      <c r="F71" s="12"/>
      <c r="G71" s="26"/>
      <c r="H71" s="73"/>
      <c r="I71" s="73"/>
      <c r="J71" s="73"/>
      <c r="K71" s="73"/>
      <c r="L71" s="73"/>
      <c r="M71" s="73"/>
      <c r="N71" s="73"/>
      <c r="O71" s="73"/>
      <c r="P71" s="73"/>
      <c r="Q71" s="73"/>
      <c r="R71" s="73"/>
      <c r="S71" s="73"/>
    </row>
    <row r="72" spans="1:22" ht="15" thickBot="1" x14ac:dyDescent="0.4">
      <c r="A72" s="5" t="s">
        <v>75</v>
      </c>
      <c r="C72"/>
      <c r="D72" s="245"/>
      <c r="E72" s="77" t="s">
        <v>104</v>
      </c>
      <c r="F72" s="12"/>
      <c r="G72" s="26"/>
      <c r="H72" s="73"/>
      <c r="I72" s="73"/>
      <c r="J72" s="73"/>
      <c r="K72" s="73"/>
      <c r="L72" s="73"/>
      <c r="M72" s="73"/>
      <c r="N72" s="73"/>
      <c r="O72" s="73"/>
      <c r="P72" s="73"/>
      <c r="Q72" s="73"/>
      <c r="R72" s="73"/>
      <c r="S72" s="73"/>
    </row>
    <row r="73" spans="1:22" ht="15" thickBot="1" x14ac:dyDescent="0.4">
      <c r="A73" s="5" t="s">
        <v>75</v>
      </c>
      <c r="C73"/>
      <c r="D73" s="246"/>
      <c r="E73" s="77" t="s">
        <v>106</v>
      </c>
      <c r="F73" s="12"/>
      <c r="G73" s="26"/>
      <c r="H73" s="73"/>
      <c r="I73" s="73"/>
      <c r="J73" s="73"/>
      <c r="K73" s="73"/>
      <c r="L73" s="73"/>
      <c r="M73" s="73"/>
      <c r="N73" s="73"/>
      <c r="O73" s="73"/>
      <c r="P73" s="73"/>
      <c r="Q73" s="73"/>
      <c r="R73" s="73"/>
      <c r="S73" s="73"/>
    </row>
    <row r="74" spans="1:22" ht="15" thickBot="1" x14ac:dyDescent="0.4">
      <c r="A74" s="5" t="s">
        <v>75</v>
      </c>
      <c r="C74"/>
      <c r="D74" s="245"/>
      <c r="E74" s="77" t="s">
        <v>109</v>
      </c>
      <c r="F74" s="12"/>
      <c r="G74" s="26"/>
      <c r="H74" s="73"/>
      <c r="I74" s="73"/>
      <c r="J74" s="73"/>
      <c r="K74" s="73"/>
      <c r="L74" s="73"/>
      <c r="M74" s="73"/>
      <c r="N74" s="73"/>
      <c r="O74" s="73"/>
      <c r="P74" s="73"/>
      <c r="Q74" s="73"/>
      <c r="R74" s="73"/>
      <c r="S74" s="73"/>
    </row>
    <row r="75" spans="1:22" ht="15" thickBot="1" x14ac:dyDescent="0.4">
      <c r="A75" s="5" t="s">
        <v>75</v>
      </c>
      <c r="C75"/>
      <c r="D75" s="244"/>
      <c r="E75" s="85" t="s">
        <v>111</v>
      </c>
      <c r="F75" s="12"/>
      <c r="G75" s="26"/>
      <c r="H75" s="73"/>
      <c r="I75" s="73"/>
      <c r="J75" s="73"/>
      <c r="K75" s="73"/>
      <c r="L75" s="73"/>
      <c r="M75" s="73"/>
      <c r="N75" s="73"/>
      <c r="O75" s="73"/>
      <c r="P75" s="73"/>
      <c r="Q75" s="73"/>
      <c r="R75" s="73"/>
      <c r="S75" s="73"/>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54" t="s">
        <v>119</v>
      </c>
      <c r="G77" s="255"/>
      <c r="H77" s="260" t="s">
        <v>120</v>
      </c>
      <c r="I77" s="264"/>
      <c r="J77" s="264"/>
      <c r="K77" s="264"/>
      <c r="L77" s="264"/>
      <c r="M77" s="264"/>
      <c r="N77" s="264"/>
      <c r="O77" s="255"/>
      <c r="P77" s="268" t="s">
        <v>11</v>
      </c>
      <c r="Q77" s="282"/>
      <c r="R77" s="393" t="s">
        <v>121</v>
      </c>
      <c r="S77" s="285"/>
    </row>
    <row r="78" spans="1:22" ht="12.75" customHeight="1" x14ac:dyDescent="0.35">
      <c r="A78" s="5" t="s">
        <v>75</v>
      </c>
      <c r="C78"/>
      <c r="D78" s="256"/>
      <c r="E78" s="257"/>
      <c r="F78" s="256"/>
      <c r="G78" s="257"/>
      <c r="H78" s="261"/>
      <c r="I78" s="265"/>
      <c r="J78" s="265"/>
      <c r="K78" s="265"/>
      <c r="L78" s="265"/>
      <c r="M78" s="265"/>
      <c r="N78" s="265"/>
      <c r="O78" s="257"/>
      <c r="P78" s="270"/>
      <c r="Q78" s="283"/>
      <c r="R78" s="270"/>
      <c r="S78" s="280"/>
    </row>
    <row r="79" spans="1:22" ht="12.75" customHeight="1" x14ac:dyDescent="0.35">
      <c r="A79" s="5" t="s">
        <v>75</v>
      </c>
      <c r="C79"/>
      <c r="D79" s="256"/>
      <c r="E79" s="257"/>
      <c r="F79" s="256"/>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58"/>
      <c r="G80" s="259"/>
      <c r="H80" s="266"/>
      <c r="I80" s="267"/>
      <c r="J80" s="267"/>
      <c r="K80" s="267"/>
      <c r="L80" s="267"/>
      <c r="M80" s="267"/>
      <c r="N80" s="267"/>
      <c r="O80" s="259"/>
      <c r="P80" s="272"/>
      <c r="Q80" s="284"/>
      <c r="R80" s="272"/>
      <c r="S80" s="286"/>
    </row>
    <row r="81" spans="1:19" ht="12.75" customHeight="1" x14ac:dyDescent="0.35">
      <c r="A81" s="5" t="s">
        <v>75</v>
      </c>
      <c r="C81"/>
      <c r="D81" s="254" t="s">
        <v>118</v>
      </c>
      <c r="E81" s="255"/>
      <c r="F81" s="254" t="s">
        <v>119</v>
      </c>
      <c r="G81" s="255"/>
      <c r="H81" s="260" t="s">
        <v>120</v>
      </c>
      <c r="I81" s="264"/>
      <c r="J81" s="264"/>
      <c r="K81" s="264"/>
      <c r="L81" s="264"/>
      <c r="M81" s="264"/>
      <c r="N81" s="264"/>
      <c r="O81" s="255"/>
      <c r="P81" s="268" t="s">
        <v>11</v>
      </c>
      <c r="Q81" s="282"/>
      <c r="R81" s="393" t="s">
        <v>121</v>
      </c>
      <c r="S81" s="285"/>
    </row>
    <row r="82" spans="1:19" ht="12.75" customHeight="1" x14ac:dyDescent="0.35">
      <c r="A82" s="5" t="s">
        <v>75</v>
      </c>
      <c r="C82"/>
      <c r="D82" s="256"/>
      <c r="E82" s="257"/>
      <c r="F82" s="256"/>
      <c r="G82" s="257"/>
      <c r="H82" s="261"/>
      <c r="I82" s="265"/>
      <c r="J82" s="265"/>
      <c r="K82" s="265"/>
      <c r="L82" s="265"/>
      <c r="M82" s="265"/>
      <c r="N82" s="265"/>
      <c r="O82" s="257"/>
      <c r="P82" s="270"/>
      <c r="Q82" s="283"/>
      <c r="R82" s="270"/>
      <c r="S82" s="280"/>
    </row>
    <row r="83" spans="1:19" ht="12.75" customHeight="1" x14ac:dyDescent="0.35">
      <c r="A83" s="5" t="s">
        <v>75</v>
      </c>
      <c r="C83"/>
      <c r="D83" s="256"/>
      <c r="E83" s="257"/>
      <c r="F83" s="256"/>
      <c r="G83" s="257"/>
      <c r="H83" s="261"/>
      <c r="I83" s="265"/>
      <c r="J83" s="265"/>
      <c r="K83" s="265"/>
      <c r="L83" s="265"/>
      <c r="M83" s="265"/>
      <c r="N83" s="265"/>
      <c r="O83" s="257"/>
      <c r="P83" s="270"/>
      <c r="Q83" s="283"/>
      <c r="R83" s="270"/>
      <c r="S83" s="280"/>
    </row>
    <row r="84" spans="1:19" ht="12.75" customHeight="1" thickBot="1" x14ac:dyDescent="0.4">
      <c r="A84" s="5" t="s">
        <v>75</v>
      </c>
      <c r="C84"/>
      <c r="D84" s="258"/>
      <c r="E84" s="259"/>
      <c r="F84" s="258"/>
      <c r="G84" s="259"/>
      <c r="H84" s="266"/>
      <c r="I84" s="267"/>
      <c r="J84" s="267"/>
      <c r="K84" s="267"/>
      <c r="L84" s="267"/>
      <c r="M84" s="267"/>
      <c r="N84" s="267"/>
      <c r="O84" s="259"/>
      <c r="P84" s="272"/>
      <c r="Q84" s="284"/>
      <c r="R84" s="272"/>
      <c r="S84" s="286"/>
    </row>
    <row r="85" spans="1:19" ht="12.75" customHeight="1" x14ac:dyDescent="0.35">
      <c r="A85" s="5" t="s">
        <v>75</v>
      </c>
      <c r="C85"/>
      <c r="D85" s="254" t="s">
        <v>118</v>
      </c>
      <c r="E85" s="255"/>
      <c r="F85" s="254" t="s">
        <v>119</v>
      </c>
      <c r="G85" s="255"/>
      <c r="H85" s="260" t="s">
        <v>120</v>
      </c>
      <c r="I85" s="264"/>
      <c r="J85" s="264"/>
      <c r="K85" s="264"/>
      <c r="L85" s="264"/>
      <c r="M85" s="264"/>
      <c r="N85" s="264"/>
      <c r="O85" s="255"/>
      <c r="P85" s="268" t="s">
        <v>11</v>
      </c>
      <c r="Q85" s="282"/>
      <c r="R85" s="393" t="s">
        <v>121</v>
      </c>
      <c r="S85" s="285"/>
    </row>
    <row r="86" spans="1:19" ht="12.75" customHeight="1" x14ac:dyDescent="0.35">
      <c r="A86" s="5" t="s">
        <v>75</v>
      </c>
      <c r="C86"/>
      <c r="D86" s="256"/>
      <c r="E86" s="257"/>
      <c r="F86" s="256"/>
      <c r="G86" s="257"/>
      <c r="H86" s="261"/>
      <c r="I86" s="265"/>
      <c r="J86" s="265"/>
      <c r="K86" s="265"/>
      <c r="L86" s="265"/>
      <c r="M86" s="265"/>
      <c r="N86" s="265"/>
      <c r="O86" s="257"/>
      <c r="P86" s="270"/>
      <c r="Q86" s="283"/>
      <c r="R86" s="270"/>
      <c r="S86" s="280"/>
    </row>
    <row r="87" spans="1:19" ht="12.75" customHeight="1" x14ac:dyDescent="0.35">
      <c r="A87" s="5" t="s">
        <v>75</v>
      </c>
      <c r="C87"/>
      <c r="D87" s="256"/>
      <c r="E87" s="257"/>
      <c r="F87" s="256"/>
      <c r="G87" s="257"/>
      <c r="H87" s="261"/>
      <c r="I87" s="265"/>
      <c r="J87" s="265"/>
      <c r="K87" s="265"/>
      <c r="L87" s="265"/>
      <c r="M87" s="265"/>
      <c r="N87" s="265"/>
      <c r="O87" s="257"/>
      <c r="P87" s="270"/>
      <c r="Q87" s="283"/>
      <c r="R87" s="270"/>
      <c r="S87" s="280"/>
    </row>
    <row r="88" spans="1:19" ht="12.75" customHeight="1" x14ac:dyDescent="0.35">
      <c r="A88" s="5" t="s">
        <v>75</v>
      </c>
      <c r="C88"/>
      <c r="D88" s="258"/>
      <c r="E88" s="259"/>
      <c r="F88" s="258"/>
      <c r="G88" s="259"/>
      <c r="H88" s="266"/>
      <c r="I88" s="267"/>
      <c r="J88" s="267"/>
      <c r="K88" s="267"/>
      <c r="L88" s="267"/>
      <c r="M88" s="267"/>
      <c r="N88" s="267"/>
      <c r="O88" s="259"/>
      <c r="P88" s="272"/>
      <c r="Q88" s="284"/>
      <c r="R88" s="272"/>
      <c r="S88" s="286"/>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f ca="1">OFFSET($G$7,2*(D103+1)-1,0)</f>
        <v>0</v>
      </c>
      <c r="L106" s="234"/>
      <c r="M106" s="235"/>
      <c r="N106" s="394" t="s">
        <v>125</v>
      </c>
      <c r="O106" s="395"/>
      <c r="P106" s="396"/>
      <c r="Q106" s="236" t="s">
        <v>124</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397"/>
      <c r="E110" s="96" t="s">
        <v>77</v>
      </c>
      <c r="F110" s="97" t="s">
        <v>78</v>
      </c>
      <c r="G110" s="65"/>
      <c r="H110" s="66"/>
      <c r="I110" s="66"/>
      <c r="J110" s="66"/>
      <c r="K110" s="66"/>
      <c r="L110" s="66"/>
      <c r="M110" s="66"/>
      <c r="N110" s="68"/>
      <c r="O110" s="68"/>
      <c r="P110" s="68"/>
      <c r="Q110" s="68"/>
      <c r="R110" s="68"/>
      <c r="S110" s="69"/>
      <c r="U110" s="289"/>
      <c r="V110" s="290"/>
    </row>
    <row r="111" spans="1:22" ht="15" thickBot="1" x14ac:dyDescent="0.4">
      <c r="A111" s="8" t="s">
        <v>75</v>
      </c>
      <c r="C111"/>
      <c r="D111" s="398"/>
      <c r="E111" s="70" t="s">
        <v>79</v>
      </c>
      <c r="F111" s="6"/>
      <c r="G111" s="25"/>
      <c r="H111" s="73"/>
      <c r="I111" s="73"/>
      <c r="J111" s="73"/>
      <c r="K111" s="73"/>
      <c r="L111" s="73"/>
      <c r="M111" s="73"/>
      <c r="N111" s="73"/>
      <c r="O111" s="73"/>
      <c r="P111" s="73"/>
      <c r="Q111" s="73"/>
      <c r="R111" s="73"/>
      <c r="S111" s="73"/>
      <c r="U111" s="199">
        <v>0</v>
      </c>
      <c r="V111" s="200" t="s">
        <v>21</v>
      </c>
    </row>
    <row r="112" spans="1:22" ht="15" thickBot="1" x14ac:dyDescent="0.4">
      <c r="A112" s="8" t="s">
        <v>75</v>
      </c>
      <c r="C112"/>
      <c r="D112" s="398"/>
      <c r="E112" s="77" t="s">
        <v>81</v>
      </c>
      <c r="F112" s="6"/>
      <c r="G112" s="25"/>
      <c r="H112" s="73"/>
      <c r="I112" s="73"/>
      <c r="J112" s="73"/>
      <c r="K112" s="73"/>
      <c r="L112" s="73"/>
      <c r="M112" s="73"/>
      <c r="N112" s="73"/>
      <c r="O112" s="73"/>
      <c r="P112" s="73"/>
      <c r="Q112" s="73"/>
      <c r="R112" s="73"/>
      <c r="S112" s="73"/>
      <c r="U112" s="33">
        <v>1</v>
      </c>
      <c r="V112" s="201" t="s">
        <v>22</v>
      </c>
    </row>
    <row r="113" spans="1:22" ht="15" thickBot="1" x14ac:dyDescent="0.4">
      <c r="A113" s="8" t="s">
        <v>75</v>
      </c>
      <c r="C113"/>
      <c r="D113" s="398"/>
      <c r="E113" s="77" t="s">
        <v>83</v>
      </c>
      <c r="F113" s="6"/>
      <c r="G113" s="25"/>
      <c r="H113" s="73"/>
      <c r="I113" s="73"/>
      <c r="J113" s="73"/>
      <c r="K113" s="73"/>
      <c r="L113" s="73"/>
      <c r="M113" s="73"/>
      <c r="N113" s="73"/>
      <c r="O113" s="73"/>
      <c r="P113" s="73"/>
      <c r="Q113" s="73"/>
      <c r="R113" s="73"/>
      <c r="S113" s="73"/>
      <c r="U113" s="41">
        <v>2</v>
      </c>
      <c r="V113" s="202" t="s">
        <v>25</v>
      </c>
    </row>
    <row r="114" spans="1:22" ht="15" thickBot="1" x14ac:dyDescent="0.4">
      <c r="A114" s="5" t="s">
        <v>75</v>
      </c>
      <c r="C114"/>
      <c r="D114" s="398"/>
      <c r="E114" s="77" t="s">
        <v>85</v>
      </c>
      <c r="F114" s="6"/>
      <c r="G114" s="25"/>
      <c r="H114" s="73"/>
      <c r="I114" s="73"/>
      <c r="J114" s="73"/>
      <c r="K114" s="73"/>
      <c r="L114" s="73"/>
      <c r="M114" s="73"/>
      <c r="N114" s="73"/>
      <c r="O114" s="73"/>
      <c r="P114" s="73"/>
      <c r="Q114" s="73"/>
      <c r="R114" s="73"/>
      <c r="S114" s="73"/>
      <c r="U114" s="38">
        <v>3</v>
      </c>
      <c r="V114" s="203" t="s">
        <v>26</v>
      </c>
    </row>
    <row r="115" spans="1:22" ht="15" thickBot="1" x14ac:dyDescent="0.4">
      <c r="A115" s="5" t="s">
        <v>75</v>
      </c>
      <c r="C115"/>
      <c r="D115" s="399"/>
      <c r="E115" s="77" t="s">
        <v>87</v>
      </c>
      <c r="F115" s="6"/>
      <c r="G115" s="25"/>
      <c r="H115" s="73"/>
      <c r="I115" s="73"/>
      <c r="J115" s="73"/>
      <c r="K115" s="73"/>
      <c r="L115" s="73"/>
      <c r="M115" s="73"/>
      <c r="N115" s="73"/>
      <c r="O115" s="73"/>
      <c r="P115" s="73"/>
      <c r="Q115" s="73"/>
      <c r="R115" s="73"/>
      <c r="S115" s="73"/>
      <c r="U115" s="35">
        <v>4</v>
      </c>
      <c r="V115" s="204" t="s">
        <v>29</v>
      </c>
    </row>
    <row r="116" spans="1:22" ht="15" thickBot="1" x14ac:dyDescent="0.4">
      <c r="A116" s="5" t="s">
        <v>75</v>
      </c>
      <c r="C116"/>
      <c r="D116" s="253" t="s">
        <v>37</v>
      </c>
      <c r="E116" s="77" t="s">
        <v>89</v>
      </c>
      <c r="F116" s="6"/>
      <c r="G116" s="25"/>
      <c r="H116" s="73"/>
      <c r="I116" s="73"/>
      <c r="J116" s="73"/>
      <c r="K116" s="73"/>
      <c r="L116" s="73"/>
      <c r="M116" s="73"/>
      <c r="N116" s="73"/>
      <c r="O116" s="73"/>
      <c r="P116" s="73"/>
      <c r="Q116" s="73"/>
      <c r="R116" s="73"/>
      <c r="S116" s="73"/>
      <c r="U116" s="46">
        <v>5</v>
      </c>
      <c r="V116" s="60" t="s">
        <v>30</v>
      </c>
    </row>
    <row r="117" spans="1:22" ht="15" thickBot="1" x14ac:dyDescent="0.4">
      <c r="A117" s="5" t="s">
        <v>75</v>
      </c>
      <c r="C117"/>
      <c r="D117" s="253"/>
      <c r="E117" s="77" t="s">
        <v>91</v>
      </c>
      <c r="F117" s="6"/>
      <c r="G117" s="25"/>
      <c r="H117" s="73"/>
      <c r="I117" s="73"/>
      <c r="J117" s="73"/>
      <c r="K117" s="73"/>
      <c r="L117" s="73"/>
      <c r="M117" s="73"/>
      <c r="N117" s="73"/>
      <c r="O117" s="73"/>
      <c r="P117" s="73"/>
      <c r="Q117" s="73"/>
      <c r="R117" s="73"/>
      <c r="S117" s="73"/>
    </row>
    <row r="118" spans="1:22" ht="15" thickBot="1" x14ac:dyDescent="0.4">
      <c r="A118" s="5" t="s">
        <v>75</v>
      </c>
      <c r="C118"/>
      <c r="D118" s="243"/>
      <c r="E118" s="77" t="s">
        <v>94</v>
      </c>
      <c r="F118" s="6"/>
      <c r="G118" s="25"/>
      <c r="H118" s="73"/>
      <c r="I118" s="73"/>
      <c r="J118" s="73"/>
      <c r="K118" s="73"/>
      <c r="L118" s="73"/>
      <c r="M118" s="73"/>
      <c r="N118" s="73"/>
      <c r="O118" s="73"/>
      <c r="P118" s="73"/>
      <c r="Q118" s="73"/>
      <c r="R118" s="73"/>
      <c r="S118" s="73"/>
    </row>
    <row r="119" spans="1:22" ht="15" thickBot="1" x14ac:dyDescent="0.4">
      <c r="A119" s="5" t="s">
        <v>75</v>
      </c>
      <c r="C119"/>
      <c r="D119" s="244"/>
      <c r="E119" s="77" t="s">
        <v>96</v>
      </c>
      <c r="F119" s="6"/>
      <c r="G119" s="25"/>
      <c r="H119" s="73"/>
      <c r="I119" s="73"/>
      <c r="J119" s="73"/>
      <c r="K119" s="73"/>
      <c r="L119" s="73"/>
      <c r="M119" s="73"/>
      <c r="N119" s="73"/>
      <c r="O119" s="73"/>
      <c r="P119" s="73"/>
      <c r="Q119" s="73"/>
      <c r="R119" s="73"/>
      <c r="S119" s="73"/>
    </row>
    <row r="120" spans="1:22" ht="15" thickBot="1" x14ac:dyDescent="0.4">
      <c r="A120" s="5" t="s">
        <v>75</v>
      </c>
      <c r="C120"/>
      <c r="D120" s="243"/>
      <c r="E120" s="77" t="s">
        <v>99</v>
      </c>
      <c r="F120" s="6"/>
      <c r="G120" s="25"/>
      <c r="H120" s="73"/>
      <c r="I120" s="73"/>
      <c r="J120" s="73"/>
      <c r="K120" s="73"/>
      <c r="L120" s="73"/>
      <c r="M120" s="73"/>
      <c r="N120" s="73"/>
      <c r="O120" s="73"/>
      <c r="P120" s="73"/>
      <c r="Q120" s="73"/>
      <c r="R120" s="73"/>
      <c r="S120" s="73"/>
    </row>
    <row r="121" spans="1:22" ht="15" thickBot="1" x14ac:dyDescent="0.4">
      <c r="A121" s="5" t="s">
        <v>75</v>
      </c>
      <c r="C121"/>
      <c r="D121" s="244"/>
      <c r="E121" s="77" t="s">
        <v>101</v>
      </c>
      <c r="F121" s="6"/>
      <c r="G121" s="25"/>
      <c r="H121" s="73"/>
      <c r="I121" s="73"/>
      <c r="J121" s="73"/>
      <c r="K121" s="73"/>
      <c r="L121" s="73"/>
      <c r="M121" s="73"/>
      <c r="N121" s="73"/>
      <c r="O121" s="73"/>
      <c r="P121" s="73"/>
      <c r="Q121" s="73"/>
      <c r="R121" s="73"/>
      <c r="S121" s="73"/>
    </row>
    <row r="122" spans="1:22" ht="15" thickBot="1" x14ac:dyDescent="0.4">
      <c r="A122" s="5" t="s">
        <v>75</v>
      </c>
      <c r="C122"/>
      <c r="D122" s="245"/>
      <c r="E122" s="77" t="s">
        <v>104</v>
      </c>
      <c r="F122" s="6"/>
      <c r="G122" s="25"/>
      <c r="H122" s="73"/>
      <c r="I122" s="73"/>
      <c r="J122" s="73"/>
      <c r="K122" s="73"/>
      <c r="L122" s="73"/>
      <c r="M122" s="73"/>
      <c r="N122" s="73"/>
      <c r="O122" s="73"/>
      <c r="P122" s="73"/>
      <c r="Q122" s="73"/>
      <c r="R122" s="73"/>
      <c r="S122" s="73"/>
    </row>
    <row r="123" spans="1:22" ht="15" thickBot="1" x14ac:dyDescent="0.4">
      <c r="A123" s="5" t="s">
        <v>75</v>
      </c>
      <c r="C123"/>
      <c r="D123" s="246"/>
      <c r="E123" s="77" t="s">
        <v>106</v>
      </c>
      <c r="F123" s="6"/>
      <c r="G123" s="25"/>
      <c r="H123" s="73"/>
      <c r="I123" s="73"/>
      <c r="J123" s="73"/>
      <c r="K123" s="73"/>
      <c r="L123" s="73"/>
      <c r="M123" s="73"/>
      <c r="N123" s="73"/>
      <c r="O123" s="73"/>
      <c r="P123" s="73"/>
      <c r="Q123" s="73"/>
      <c r="R123" s="73"/>
      <c r="S123" s="73"/>
    </row>
    <row r="124" spans="1:22" ht="15" thickBot="1" x14ac:dyDescent="0.4">
      <c r="A124" s="5" t="s">
        <v>75</v>
      </c>
      <c r="C124"/>
      <c r="D124" s="245"/>
      <c r="E124" s="77" t="s">
        <v>109</v>
      </c>
      <c r="F124" s="6"/>
      <c r="G124" s="25"/>
      <c r="H124" s="73"/>
      <c r="I124" s="73"/>
      <c r="J124" s="73"/>
      <c r="K124" s="73"/>
      <c r="L124" s="73"/>
      <c r="M124" s="73"/>
      <c r="N124" s="73"/>
      <c r="O124" s="73"/>
      <c r="P124" s="73"/>
      <c r="Q124" s="73"/>
      <c r="R124" s="73"/>
      <c r="S124" s="73"/>
    </row>
    <row r="125" spans="1:22" ht="15" thickBot="1" x14ac:dyDescent="0.4">
      <c r="A125" s="5" t="s">
        <v>75</v>
      </c>
      <c r="C125"/>
      <c r="D125" s="244"/>
      <c r="E125" s="85" t="s">
        <v>111</v>
      </c>
      <c r="F125" s="6"/>
      <c r="G125" s="25"/>
      <c r="H125" s="73"/>
      <c r="I125" s="73"/>
      <c r="J125" s="73"/>
      <c r="K125" s="73"/>
      <c r="L125" s="73"/>
      <c r="M125" s="73"/>
      <c r="N125" s="73"/>
      <c r="O125" s="73"/>
      <c r="P125" s="73"/>
      <c r="Q125" s="73"/>
      <c r="R125" s="73"/>
      <c r="S125" s="73"/>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54" t="s">
        <v>119</v>
      </c>
      <c r="G127" s="255"/>
      <c r="H127" s="260" t="s">
        <v>126</v>
      </c>
      <c r="I127" s="264"/>
      <c r="J127" s="264"/>
      <c r="K127" s="264"/>
      <c r="L127" s="264"/>
      <c r="M127" s="264"/>
      <c r="N127" s="264"/>
      <c r="O127" s="255"/>
      <c r="P127" s="268" t="s">
        <v>11</v>
      </c>
      <c r="Q127" s="282"/>
      <c r="R127" s="393" t="s">
        <v>121</v>
      </c>
      <c r="S127" s="285"/>
    </row>
    <row r="128" spans="1:22" ht="12.75" customHeight="1" x14ac:dyDescent="0.35">
      <c r="A128" s="5" t="s">
        <v>75</v>
      </c>
      <c r="C128"/>
      <c r="D128" s="256"/>
      <c r="E128" s="257"/>
      <c r="F128" s="256"/>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56"/>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58"/>
      <c r="G130" s="259"/>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54" t="s">
        <v>119</v>
      </c>
      <c r="G131" s="255"/>
      <c r="H131" s="260" t="s">
        <v>120</v>
      </c>
      <c r="I131" s="264"/>
      <c r="J131" s="264"/>
      <c r="K131" s="264"/>
      <c r="L131" s="264"/>
      <c r="M131" s="264"/>
      <c r="N131" s="264"/>
      <c r="O131" s="255"/>
      <c r="P131" s="268" t="s">
        <v>11</v>
      </c>
      <c r="Q131" s="282"/>
      <c r="R131" s="393" t="s">
        <v>121</v>
      </c>
      <c r="S131" s="285"/>
    </row>
    <row r="132" spans="1:19" ht="12.75" customHeight="1" x14ac:dyDescent="0.35">
      <c r="A132" s="5" t="s">
        <v>75</v>
      </c>
      <c r="C132"/>
      <c r="D132" s="256"/>
      <c r="E132" s="257"/>
      <c r="F132" s="256"/>
      <c r="G132" s="257"/>
      <c r="H132" s="261"/>
      <c r="I132" s="265"/>
      <c r="J132" s="265"/>
      <c r="K132" s="265"/>
      <c r="L132" s="265"/>
      <c r="M132" s="265"/>
      <c r="N132" s="265"/>
      <c r="O132" s="257"/>
      <c r="P132" s="270"/>
      <c r="Q132" s="283"/>
      <c r="R132" s="270"/>
      <c r="S132" s="280"/>
    </row>
    <row r="133" spans="1:19" ht="12.75" customHeight="1" x14ac:dyDescent="0.35">
      <c r="A133" s="5" t="s">
        <v>75</v>
      </c>
      <c r="C133"/>
      <c r="D133" s="256"/>
      <c r="E133" s="257"/>
      <c r="F133" s="256"/>
      <c r="G133" s="257"/>
      <c r="H133" s="261"/>
      <c r="I133" s="265"/>
      <c r="J133" s="265"/>
      <c r="K133" s="265"/>
      <c r="L133" s="265"/>
      <c r="M133" s="265"/>
      <c r="N133" s="265"/>
      <c r="O133" s="257"/>
      <c r="P133" s="270"/>
      <c r="Q133" s="283"/>
      <c r="R133" s="270"/>
      <c r="S133" s="280"/>
    </row>
    <row r="134" spans="1:19" ht="12.75" customHeight="1" thickBot="1" x14ac:dyDescent="0.4">
      <c r="A134" s="5" t="s">
        <v>75</v>
      </c>
      <c r="C134"/>
      <c r="D134" s="258"/>
      <c r="E134" s="259"/>
      <c r="F134" s="258"/>
      <c r="G134" s="259"/>
      <c r="H134" s="266"/>
      <c r="I134" s="267"/>
      <c r="J134" s="267"/>
      <c r="K134" s="267"/>
      <c r="L134" s="267"/>
      <c r="M134" s="267"/>
      <c r="N134" s="267"/>
      <c r="O134" s="259"/>
      <c r="P134" s="272"/>
      <c r="Q134" s="284"/>
      <c r="R134" s="272"/>
      <c r="S134" s="286"/>
    </row>
    <row r="135" spans="1:19" ht="12.75" customHeight="1" x14ac:dyDescent="0.35">
      <c r="A135" s="5" t="s">
        <v>75</v>
      </c>
      <c r="C135"/>
      <c r="D135" s="254" t="s">
        <v>118</v>
      </c>
      <c r="E135" s="255"/>
      <c r="F135" s="254" t="s">
        <v>119</v>
      </c>
      <c r="G135" s="255"/>
      <c r="H135" s="260" t="s">
        <v>120</v>
      </c>
      <c r="I135" s="264"/>
      <c r="J135" s="264"/>
      <c r="K135" s="264"/>
      <c r="L135" s="264"/>
      <c r="M135" s="264"/>
      <c r="N135" s="264"/>
      <c r="O135" s="255"/>
      <c r="P135" s="268" t="s">
        <v>11</v>
      </c>
      <c r="Q135" s="282"/>
      <c r="R135" s="393" t="s">
        <v>121</v>
      </c>
      <c r="S135" s="285"/>
    </row>
    <row r="136" spans="1:19" ht="12.75" customHeight="1" x14ac:dyDescent="0.35">
      <c r="A136" s="5" t="s">
        <v>75</v>
      </c>
      <c r="C136"/>
      <c r="D136" s="256"/>
      <c r="E136" s="257"/>
      <c r="F136" s="256"/>
      <c r="G136" s="257"/>
      <c r="H136" s="261"/>
      <c r="I136" s="265"/>
      <c r="J136" s="265"/>
      <c r="K136" s="265"/>
      <c r="L136" s="265"/>
      <c r="M136" s="265"/>
      <c r="N136" s="265"/>
      <c r="O136" s="257"/>
      <c r="P136" s="270"/>
      <c r="Q136" s="283"/>
      <c r="R136" s="270"/>
      <c r="S136" s="280"/>
    </row>
    <row r="137" spans="1:19" ht="12.75" customHeight="1" x14ac:dyDescent="0.35">
      <c r="A137" s="5" t="s">
        <v>75</v>
      </c>
      <c r="C137"/>
      <c r="D137" s="256"/>
      <c r="E137" s="257"/>
      <c r="F137" s="256"/>
      <c r="G137" s="257"/>
      <c r="H137" s="261"/>
      <c r="I137" s="265"/>
      <c r="J137" s="265"/>
      <c r="K137" s="265"/>
      <c r="L137" s="265"/>
      <c r="M137" s="265"/>
      <c r="N137" s="265"/>
      <c r="O137" s="257"/>
      <c r="P137" s="270"/>
      <c r="Q137" s="283"/>
      <c r="R137" s="270"/>
      <c r="S137" s="280"/>
    </row>
    <row r="138" spans="1:19" ht="12.75" customHeight="1" x14ac:dyDescent="0.35">
      <c r="A138" s="5" t="s">
        <v>75</v>
      </c>
      <c r="C138"/>
      <c r="D138" s="258"/>
      <c r="E138" s="259"/>
      <c r="F138" s="258"/>
      <c r="G138" s="259"/>
      <c r="H138" s="266"/>
      <c r="I138" s="267"/>
      <c r="J138" s="267"/>
      <c r="K138" s="267"/>
      <c r="L138" s="267"/>
      <c r="M138" s="267"/>
      <c r="N138" s="267"/>
      <c r="O138" s="259"/>
      <c r="P138" s="272"/>
      <c r="Q138" s="284"/>
      <c r="R138" s="272"/>
      <c r="S138" s="286"/>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f ca="1">OFFSET($G$7,2*(D153+1)-1,0)</f>
        <v>0</v>
      </c>
      <c r="L156" s="234"/>
      <c r="M156" s="235"/>
      <c r="N156" s="394" t="s">
        <v>125</v>
      </c>
      <c r="O156" s="395"/>
      <c r="P156" s="396"/>
      <c r="Q156" s="394" t="s">
        <v>127</v>
      </c>
      <c r="R156" s="395"/>
      <c r="S156" s="396"/>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c r="E160" s="96" t="s">
        <v>77</v>
      </c>
      <c r="F160" s="97" t="s">
        <v>78</v>
      </c>
      <c r="G160" s="65" t="s">
        <v>128</v>
      </c>
      <c r="H160" s="66">
        <v>0</v>
      </c>
      <c r="I160" s="67">
        <v>0</v>
      </c>
      <c r="J160" s="67">
        <v>0</v>
      </c>
      <c r="K160" s="67">
        <v>0</v>
      </c>
      <c r="L160" s="67">
        <v>0</v>
      </c>
      <c r="M160" s="68">
        <v>0</v>
      </c>
      <c r="N160" s="68">
        <v>0</v>
      </c>
      <c r="O160" s="68">
        <v>0</v>
      </c>
      <c r="P160" s="68"/>
      <c r="Q160" s="68"/>
      <c r="R160" s="68"/>
      <c r="S160" s="69"/>
      <c r="U160" s="289"/>
      <c r="V160" s="290"/>
    </row>
    <row r="161" spans="1:22" ht="15" thickBot="1" x14ac:dyDescent="0.4">
      <c r="A161" s="8" t="s">
        <v>75</v>
      </c>
      <c r="C161"/>
      <c r="D161" s="251"/>
      <c r="E161" s="70" t="s">
        <v>79</v>
      </c>
      <c r="F161" s="12"/>
      <c r="G161" s="25"/>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6"/>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6"/>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6"/>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6"/>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6"/>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6"/>
      <c r="G167" s="79"/>
      <c r="H167" s="80"/>
      <c r="I167" s="81"/>
      <c r="J167" s="81"/>
      <c r="K167" s="81"/>
      <c r="L167" s="81"/>
      <c r="M167" s="83"/>
      <c r="N167" s="83"/>
      <c r="O167" s="83"/>
      <c r="P167" s="83"/>
      <c r="Q167" s="83"/>
      <c r="R167" s="83"/>
      <c r="S167" s="84"/>
    </row>
    <row r="168" spans="1:22" ht="15.75" customHeight="1" thickBot="1" x14ac:dyDescent="0.4">
      <c r="A168" s="5" t="s">
        <v>75</v>
      </c>
      <c r="C168"/>
      <c r="D168" s="243"/>
      <c r="E168" s="77" t="s">
        <v>94</v>
      </c>
      <c r="F168" s="6"/>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c r="G169" s="79"/>
      <c r="H169" s="80"/>
      <c r="I169" s="81"/>
      <c r="J169" s="81"/>
      <c r="K169" s="81"/>
      <c r="L169" s="81"/>
      <c r="M169" s="83"/>
      <c r="N169" s="83"/>
      <c r="O169" s="83"/>
      <c r="P169" s="83"/>
      <c r="Q169" s="83"/>
      <c r="R169" s="83"/>
      <c r="S169" s="84"/>
    </row>
    <row r="170" spans="1:22" ht="15" thickBot="1" x14ac:dyDescent="0.4">
      <c r="A170" s="5" t="s">
        <v>75</v>
      </c>
      <c r="C170"/>
      <c r="D170" s="245"/>
      <c r="E170" s="77" t="s">
        <v>99</v>
      </c>
      <c r="F170" s="78"/>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c r="G171" s="79"/>
      <c r="H171" s="80"/>
      <c r="I171" s="81"/>
      <c r="J171" s="81"/>
      <c r="K171" s="81"/>
      <c r="L171" s="81"/>
      <c r="M171" s="83"/>
      <c r="N171" s="83"/>
      <c r="O171" s="83"/>
      <c r="P171" s="83"/>
      <c r="Q171" s="83"/>
      <c r="R171" s="83"/>
      <c r="S171" s="84"/>
    </row>
    <row r="172" spans="1:22" ht="15" thickBot="1" x14ac:dyDescent="0.4">
      <c r="A172" s="5" t="s">
        <v>75</v>
      </c>
      <c r="C172"/>
      <c r="D172" s="245"/>
      <c r="E172" s="77" t="s">
        <v>104</v>
      </c>
      <c r="F172" s="78"/>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c r="G173" s="79"/>
      <c r="H173" s="80"/>
      <c r="I173" s="81"/>
      <c r="J173" s="81"/>
      <c r="K173" s="81"/>
      <c r="L173" s="81"/>
      <c r="M173" s="83"/>
      <c r="N173" s="83"/>
      <c r="O173" s="83"/>
      <c r="P173" s="83"/>
      <c r="Q173" s="83"/>
      <c r="R173" s="83"/>
      <c r="S173" s="84"/>
    </row>
    <row r="174" spans="1:22" ht="15" thickBot="1" x14ac:dyDescent="0.4">
      <c r="A174" s="5" t="s">
        <v>75</v>
      </c>
      <c r="C174"/>
      <c r="D174" s="245"/>
      <c r="E174" s="77" t="s">
        <v>109</v>
      </c>
      <c r="F174" s="78"/>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f ca="1">OFFSET($G$7,2*(D203+1)-1,0)</f>
        <v>0</v>
      </c>
      <c r="L206" s="234"/>
      <c r="M206" s="235"/>
      <c r="N206" s="394" t="s">
        <v>125</v>
      </c>
      <c r="O206" s="395"/>
      <c r="P206" s="396"/>
      <c r="Q206" s="236" t="s">
        <v>124</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c r="E210" s="96" t="s">
        <v>77</v>
      </c>
      <c r="F210" s="97" t="s">
        <v>78</v>
      </c>
      <c r="G210" s="65" t="s">
        <v>129</v>
      </c>
      <c r="H210" s="66"/>
      <c r="I210" s="66"/>
      <c r="J210" s="66"/>
      <c r="K210" s="66"/>
      <c r="L210" s="66"/>
      <c r="M210" s="66"/>
      <c r="N210" s="68"/>
      <c r="O210" s="68"/>
      <c r="P210" s="68"/>
      <c r="Q210" s="68"/>
      <c r="R210" s="68"/>
      <c r="S210" s="69"/>
      <c r="U210" s="289"/>
      <c r="V210" s="290"/>
    </row>
    <row r="211" spans="1:22" ht="15" thickBot="1" x14ac:dyDescent="0.4">
      <c r="A211" s="8" t="s">
        <v>75</v>
      </c>
      <c r="C211"/>
      <c r="D211" s="251"/>
      <c r="E211" s="70" t="s">
        <v>79</v>
      </c>
      <c r="F211" s="12"/>
      <c r="G211" s="79"/>
      <c r="H211" s="80"/>
      <c r="I211" s="80"/>
      <c r="J211" s="80"/>
      <c r="K211" s="80"/>
      <c r="L211" s="80"/>
      <c r="M211" s="80"/>
      <c r="N211" s="80"/>
      <c r="O211" s="80"/>
      <c r="P211" s="80"/>
      <c r="Q211" s="80"/>
      <c r="R211" s="80"/>
      <c r="S211" s="80"/>
      <c r="U211" s="199">
        <v>0</v>
      </c>
      <c r="V211" s="200" t="s">
        <v>21</v>
      </c>
    </row>
    <row r="212" spans="1:22" ht="15" thickBot="1" x14ac:dyDescent="0.4">
      <c r="A212" s="8" t="s">
        <v>75</v>
      </c>
      <c r="C212"/>
      <c r="D212" s="251"/>
      <c r="E212" s="77" t="s">
        <v>81</v>
      </c>
      <c r="F212" s="12"/>
      <c r="G212" s="79"/>
      <c r="H212" s="80"/>
      <c r="I212" s="80"/>
      <c r="J212" s="80"/>
      <c r="K212" s="80"/>
      <c r="L212" s="80"/>
      <c r="M212" s="80"/>
      <c r="N212" s="80"/>
      <c r="O212" s="80"/>
      <c r="P212" s="80"/>
      <c r="Q212" s="80"/>
      <c r="R212" s="80"/>
      <c r="S212" s="80"/>
      <c r="U212" s="33">
        <v>1</v>
      </c>
      <c r="V212" s="201" t="s">
        <v>22</v>
      </c>
    </row>
    <row r="213" spans="1:22" ht="15" thickBot="1" x14ac:dyDescent="0.4">
      <c r="A213" s="8" t="s">
        <v>75</v>
      </c>
      <c r="C213"/>
      <c r="D213" s="251"/>
      <c r="E213" s="77" t="s">
        <v>83</v>
      </c>
      <c r="F213" s="12"/>
      <c r="G213" s="79"/>
      <c r="H213" s="80"/>
      <c r="I213" s="80"/>
      <c r="J213" s="80"/>
      <c r="K213" s="80"/>
      <c r="L213" s="80"/>
      <c r="M213" s="80"/>
      <c r="N213" s="80"/>
      <c r="O213" s="80"/>
      <c r="P213" s="80"/>
      <c r="Q213" s="80"/>
      <c r="R213" s="80"/>
      <c r="S213" s="80"/>
      <c r="U213" s="41">
        <v>2</v>
      </c>
      <c r="V213" s="202" t="s">
        <v>25</v>
      </c>
    </row>
    <row r="214" spans="1:22" ht="15" thickBot="1" x14ac:dyDescent="0.4">
      <c r="A214" s="5" t="s">
        <v>75</v>
      </c>
      <c r="C214"/>
      <c r="D214" s="251"/>
      <c r="E214" s="77" t="s">
        <v>85</v>
      </c>
      <c r="F214" s="12"/>
      <c r="G214" s="79"/>
      <c r="H214" s="80"/>
      <c r="I214" s="80"/>
      <c r="J214" s="80"/>
      <c r="K214" s="80"/>
      <c r="L214" s="80"/>
      <c r="M214" s="80"/>
      <c r="N214" s="80"/>
      <c r="O214" s="80"/>
      <c r="P214" s="80"/>
      <c r="Q214" s="80"/>
      <c r="R214" s="80"/>
      <c r="S214" s="80"/>
      <c r="U214" s="38">
        <v>3</v>
      </c>
      <c r="V214" s="203" t="s">
        <v>26</v>
      </c>
    </row>
    <row r="215" spans="1:22" ht="15" thickBot="1" x14ac:dyDescent="0.4">
      <c r="A215" s="5" t="s">
        <v>75</v>
      </c>
      <c r="C215"/>
      <c r="D215" s="252"/>
      <c r="E215" s="77" t="s">
        <v>87</v>
      </c>
      <c r="F215" s="12"/>
      <c r="G215" s="79"/>
      <c r="H215" s="80"/>
      <c r="I215" s="80"/>
      <c r="J215" s="80"/>
      <c r="K215" s="80"/>
      <c r="L215" s="80"/>
      <c r="M215" s="80"/>
      <c r="N215" s="80"/>
      <c r="O215" s="80"/>
      <c r="P215" s="80"/>
      <c r="Q215" s="80"/>
      <c r="R215" s="80"/>
      <c r="S215" s="80"/>
      <c r="U215" s="35">
        <v>4</v>
      </c>
      <c r="V215" s="204" t="s">
        <v>29</v>
      </c>
    </row>
    <row r="216" spans="1:22" ht="15" thickBot="1" x14ac:dyDescent="0.4">
      <c r="A216" s="5" t="s">
        <v>75</v>
      </c>
      <c r="C216"/>
      <c r="D216" s="253" t="s">
        <v>37</v>
      </c>
      <c r="E216" s="77" t="s">
        <v>89</v>
      </c>
      <c r="F216" s="12"/>
      <c r="G216" s="79"/>
      <c r="H216" s="80"/>
      <c r="I216" s="80"/>
      <c r="J216" s="80"/>
      <c r="K216" s="80"/>
      <c r="L216" s="80"/>
      <c r="M216" s="80"/>
      <c r="N216" s="80"/>
      <c r="O216" s="80"/>
      <c r="P216" s="80"/>
      <c r="Q216" s="80"/>
      <c r="R216" s="80"/>
      <c r="S216" s="80"/>
      <c r="U216" s="46">
        <v>5</v>
      </c>
      <c r="V216" s="60" t="s">
        <v>30</v>
      </c>
    </row>
    <row r="217" spans="1:22" ht="15" thickBot="1" x14ac:dyDescent="0.4">
      <c r="A217" s="5" t="s">
        <v>75</v>
      </c>
      <c r="C217"/>
      <c r="D217" s="253"/>
      <c r="E217" s="77" t="s">
        <v>91</v>
      </c>
      <c r="F217" s="12"/>
      <c r="G217" s="79"/>
      <c r="H217" s="80"/>
      <c r="I217" s="80"/>
      <c r="J217" s="80"/>
      <c r="K217" s="80"/>
      <c r="L217" s="80"/>
      <c r="M217" s="80"/>
      <c r="N217" s="80"/>
      <c r="O217" s="80"/>
      <c r="P217" s="80"/>
      <c r="Q217" s="80"/>
      <c r="R217" s="80"/>
      <c r="S217" s="80"/>
    </row>
    <row r="218" spans="1:22" ht="15" thickBot="1" x14ac:dyDescent="0.4">
      <c r="A218" s="5" t="s">
        <v>75</v>
      </c>
      <c r="C218"/>
      <c r="D218" s="243"/>
      <c r="E218" s="77" t="s">
        <v>94</v>
      </c>
      <c r="F218" s="12"/>
      <c r="G218" s="79"/>
      <c r="H218" s="80"/>
      <c r="I218" s="80"/>
      <c r="J218" s="80"/>
      <c r="K218" s="80"/>
      <c r="L218" s="80"/>
      <c r="M218" s="80"/>
      <c r="N218" s="80"/>
      <c r="O218" s="80"/>
      <c r="P218" s="80"/>
      <c r="Q218" s="80"/>
      <c r="R218" s="80"/>
      <c r="S218" s="80"/>
    </row>
    <row r="219" spans="1:22" ht="15" thickBot="1" x14ac:dyDescent="0.4">
      <c r="A219" s="5" t="s">
        <v>75</v>
      </c>
      <c r="C219"/>
      <c r="D219" s="244"/>
      <c r="E219" s="77" t="s">
        <v>96</v>
      </c>
      <c r="F219" s="12"/>
      <c r="G219" s="79"/>
      <c r="H219" s="80"/>
      <c r="I219" s="80"/>
      <c r="J219" s="80"/>
      <c r="K219" s="80"/>
      <c r="L219" s="80"/>
      <c r="M219" s="80"/>
      <c r="N219" s="80"/>
      <c r="O219" s="80"/>
      <c r="P219" s="80"/>
      <c r="Q219" s="80"/>
      <c r="R219" s="80"/>
      <c r="S219" s="80"/>
    </row>
    <row r="220" spans="1:22" ht="15" thickBot="1" x14ac:dyDescent="0.4">
      <c r="A220" s="5" t="s">
        <v>75</v>
      </c>
      <c r="C220"/>
      <c r="D220" s="245"/>
      <c r="E220" s="77" t="s">
        <v>99</v>
      </c>
      <c r="F220" s="12"/>
      <c r="G220" s="79"/>
      <c r="H220" s="80"/>
      <c r="I220" s="80"/>
      <c r="J220" s="80"/>
      <c r="K220" s="80"/>
      <c r="L220" s="80"/>
      <c r="M220" s="80"/>
      <c r="N220" s="80"/>
      <c r="O220" s="80"/>
      <c r="P220" s="80"/>
      <c r="Q220" s="80"/>
      <c r="R220" s="80"/>
      <c r="S220" s="80"/>
    </row>
    <row r="221" spans="1:22" ht="15" thickBot="1" x14ac:dyDescent="0.4">
      <c r="A221" s="5" t="s">
        <v>75</v>
      </c>
      <c r="C221"/>
      <c r="D221" s="246"/>
      <c r="E221" s="77" t="s">
        <v>101</v>
      </c>
      <c r="F221" s="12">
        <v>0</v>
      </c>
      <c r="G221" s="79"/>
      <c r="H221" s="80"/>
      <c r="I221" s="80"/>
      <c r="J221" s="80"/>
      <c r="K221" s="80"/>
      <c r="L221" s="80"/>
      <c r="M221" s="80"/>
      <c r="N221" s="80"/>
      <c r="O221" s="80"/>
      <c r="P221" s="80"/>
      <c r="Q221" s="80"/>
      <c r="R221" s="80"/>
      <c r="S221" s="80"/>
    </row>
    <row r="222" spans="1:22" ht="15" thickBot="1" x14ac:dyDescent="0.4">
      <c r="A222" s="5" t="s">
        <v>75</v>
      </c>
      <c r="C222"/>
      <c r="D222" s="245"/>
      <c r="E222" s="77" t="s">
        <v>104</v>
      </c>
      <c r="F222" s="12">
        <v>0</v>
      </c>
      <c r="G222" s="79"/>
      <c r="H222" s="80"/>
      <c r="I222" s="80"/>
      <c r="J222" s="80"/>
      <c r="K222" s="80"/>
      <c r="L222" s="80"/>
      <c r="M222" s="80"/>
      <c r="N222" s="80"/>
      <c r="O222" s="80"/>
      <c r="P222" s="80"/>
      <c r="Q222" s="80"/>
      <c r="R222" s="80"/>
      <c r="S222" s="80"/>
    </row>
    <row r="223" spans="1:22" ht="15" thickBot="1" x14ac:dyDescent="0.4">
      <c r="A223" s="5" t="s">
        <v>75</v>
      </c>
      <c r="C223"/>
      <c r="D223" s="246"/>
      <c r="E223" s="77" t="s">
        <v>106</v>
      </c>
      <c r="F223" s="12">
        <v>0</v>
      </c>
      <c r="G223" s="79"/>
      <c r="H223" s="80"/>
      <c r="I223" s="80"/>
      <c r="J223" s="80"/>
      <c r="K223" s="80"/>
      <c r="L223" s="80"/>
      <c r="M223" s="80"/>
      <c r="N223" s="80"/>
      <c r="O223" s="80"/>
      <c r="P223" s="80"/>
      <c r="Q223" s="80"/>
      <c r="R223" s="80"/>
      <c r="S223" s="80"/>
    </row>
    <row r="224" spans="1:22" ht="15" thickBot="1" x14ac:dyDescent="0.4">
      <c r="A224" s="5" t="s">
        <v>75</v>
      </c>
      <c r="C224"/>
      <c r="D224" s="245"/>
      <c r="E224" s="77" t="s">
        <v>109</v>
      </c>
      <c r="F224" s="12">
        <v>0</v>
      </c>
      <c r="G224" s="79"/>
      <c r="H224" s="80"/>
      <c r="I224" s="80"/>
      <c r="J224" s="80"/>
      <c r="K224" s="80"/>
      <c r="L224" s="80"/>
      <c r="M224" s="80"/>
      <c r="N224" s="80"/>
      <c r="O224" s="80"/>
      <c r="P224" s="80"/>
      <c r="Q224" s="80"/>
      <c r="R224" s="80"/>
      <c r="S224" s="80"/>
    </row>
    <row r="225" spans="1:19" ht="15" thickBot="1" x14ac:dyDescent="0.4">
      <c r="A225" s="5" t="s">
        <v>75</v>
      </c>
      <c r="C225"/>
      <c r="D225" s="244"/>
      <c r="E225" s="85" t="s">
        <v>111</v>
      </c>
      <c r="F225" s="12">
        <v>0</v>
      </c>
      <c r="G225" s="79"/>
      <c r="H225" s="80"/>
      <c r="I225" s="80"/>
      <c r="J225" s="80"/>
      <c r="K225" s="80"/>
      <c r="L225" s="80"/>
      <c r="M225" s="80"/>
      <c r="N225" s="80"/>
      <c r="O225" s="80"/>
      <c r="P225" s="80"/>
      <c r="Q225" s="80"/>
      <c r="R225" s="80"/>
      <c r="S225" s="80"/>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54" t="s">
        <v>119</v>
      </c>
      <c r="G227" s="255"/>
      <c r="H227" s="260" t="s">
        <v>120</v>
      </c>
      <c r="I227" s="264"/>
      <c r="J227" s="264"/>
      <c r="K227" s="264"/>
      <c r="L227" s="264"/>
      <c r="M227" s="264"/>
      <c r="N227" s="264"/>
      <c r="O227" s="255"/>
      <c r="P227" s="268" t="s">
        <v>11</v>
      </c>
      <c r="Q227" s="282"/>
      <c r="R227" s="393" t="s">
        <v>121</v>
      </c>
      <c r="S227" s="285"/>
    </row>
    <row r="228" spans="1:19" ht="12.75" customHeight="1" x14ac:dyDescent="0.35">
      <c r="A228" s="5" t="s">
        <v>75</v>
      </c>
      <c r="C228"/>
      <c r="D228" s="256"/>
      <c r="E228" s="257"/>
      <c r="F228" s="256"/>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56"/>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58"/>
      <c r="G230" s="259"/>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54" t="s">
        <v>119</v>
      </c>
      <c r="G231" s="255"/>
      <c r="H231" s="260" t="s">
        <v>120</v>
      </c>
      <c r="I231" s="264"/>
      <c r="J231" s="264"/>
      <c r="K231" s="264"/>
      <c r="L231" s="264"/>
      <c r="M231" s="264"/>
      <c r="N231" s="264"/>
      <c r="O231" s="255"/>
      <c r="P231" s="268" t="s">
        <v>11</v>
      </c>
      <c r="Q231" s="282"/>
      <c r="R231" s="393" t="s">
        <v>121</v>
      </c>
      <c r="S231" s="285"/>
    </row>
    <row r="232" spans="1:19" ht="12.75" customHeight="1" x14ac:dyDescent="0.35">
      <c r="A232" s="5" t="s">
        <v>75</v>
      </c>
      <c r="C232"/>
      <c r="D232" s="256"/>
      <c r="E232" s="257"/>
      <c r="F232" s="256"/>
      <c r="G232" s="257"/>
      <c r="H232" s="261"/>
      <c r="I232" s="265"/>
      <c r="J232" s="265"/>
      <c r="K232" s="265"/>
      <c r="L232" s="265"/>
      <c r="M232" s="265"/>
      <c r="N232" s="265"/>
      <c r="O232" s="257"/>
      <c r="P232" s="270"/>
      <c r="Q232" s="283"/>
      <c r="R232" s="270"/>
      <c r="S232" s="280"/>
    </row>
    <row r="233" spans="1:19" ht="12.75" customHeight="1" x14ac:dyDescent="0.35">
      <c r="A233" s="5" t="s">
        <v>75</v>
      </c>
      <c r="C233"/>
      <c r="D233" s="256"/>
      <c r="E233" s="257"/>
      <c r="F233" s="256"/>
      <c r="G233" s="257"/>
      <c r="H233" s="261"/>
      <c r="I233" s="265"/>
      <c r="J233" s="265"/>
      <c r="K233" s="265"/>
      <c r="L233" s="265"/>
      <c r="M233" s="265"/>
      <c r="N233" s="265"/>
      <c r="O233" s="257"/>
      <c r="P233" s="270"/>
      <c r="Q233" s="283"/>
      <c r="R233" s="270"/>
      <c r="S233" s="280"/>
    </row>
    <row r="234" spans="1:19" ht="12.75" customHeight="1" thickBot="1" x14ac:dyDescent="0.4">
      <c r="A234" s="5" t="s">
        <v>75</v>
      </c>
      <c r="C234"/>
      <c r="D234" s="258"/>
      <c r="E234" s="259"/>
      <c r="F234" s="258"/>
      <c r="G234" s="259"/>
      <c r="H234" s="266"/>
      <c r="I234" s="267"/>
      <c r="J234" s="267"/>
      <c r="K234" s="267"/>
      <c r="L234" s="267"/>
      <c r="M234" s="267"/>
      <c r="N234" s="267"/>
      <c r="O234" s="259"/>
      <c r="P234" s="272"/>
      <c r="Q234" s="284"/>
      <c r="R234" s="272"/>
      <c r="S234" s="286"/>
    </row>
    <row r="235" spans="1:19" ht="12.75" customHeight="1" x14ac:dyDescent="0.35">
      <c r="A235" s="5" t="s">
        <v>75</v>
      </c>
      <c r="C235"/>
      <c r="D235" s="254" t="s">
        <v>118</v>
      </c>
      <c r="E235" s="255"/>
      <c r="F235" s="254" t="s">
        <v>119</v>
      </c>
      <c r="G235" s="255"/>
      <c r="H235" s="260" t="s">
        <v>120</v>
      </c>
      <c r="I235" s="264"/>
      <c r="J235" s="264"/>
      <c r="K235" s="264"/>
      <c r="L235" s="264"/>
      <c r="M235" s="264"/>
      <c r="N235" s="264"/>
      <c r="O235" s="255"/>
      <c r="P235" s="268" t="s">
        <v>11</v>
      </c>
      <c r="Q235" s="282"/>
      <c r="R235" s="393" t="s">
        <v>121</v>
      </c>
      <c r="S235" s="285"/>
    </row>
    <row r="236" spans="1:19" ht="12.75" customHeight="1" x14ac:dyDescent="0.35">
      <c r="A236" s="5" t="s">
        <v>75</v>
      </c>
      <c r="C236"/>
      <c r="D236" s="256"/>
      <c r="E236" s="257"/>
      <c r="F236" s="256"/>
      <c r="G236" s="257"/>
      <c r="H236" s="261"/>
      <c r="I236" s="265"/>
      <c r="J236" s="265"/>
      <c r="K236" s="265"/>
      <c r="L236" s="265"/>
      <c r="M236" s="265"/>
      <c r="N236" s="265"/>
      <c r="O236" s="257"/>
      <c r="P236" s="270"/>
      <c r="Q236" s="283"/>
      <c r="R236" s="270"/>
      <c r="S236" s="280"/>
    </row>
    <row r="237" spans="1:19" ht="12.75" customHeight="1" x14ac:dyDescent="0.35">
      <c r="A237" s="5" t="s">
        <v>75</v>
      </c>
      <c r="C237"/>
      <c r="D237" s="256"/>
      <c r="E237" s="257"/>
      <c r="F237" s="256"/>
      <c r="G237" s="257"/>
      <c r="H237" s="261"/>
      <c r="I237" s="265"/>
      <c r="J237" s="265"/>
      <c r="K237" s="265"/>
      <c r="L237" s="265"/>
      <c r="M237" s="265"/>
      <c r="N237" s="265"/>
      <c r="O237" s="257"/>
      <c r="P237" s="270"/>
      <c r="Q237" s="283"/>
      <c r="R237" s="270"/>
      <c r="S237" s="280"/>
    </row>
    <row r="238" spans="1:19" ht="12.75" customHeight="1" x14ac:dyDescent="0.35">
      <c r="A238" s="5" t="s">
        <v>75</v>
      </c>
      <c r="C238"/>
      <c r="D238" s="258"/>
      <c r="E238" s="259"/>
      <c r="F238" s="258"/>
      <c r="G238" s="259"/>
      <c r="H238" s="266"/>
      <c r="I238" s="267"/>
      <c r="J238" s="267"/>
      <c r="K238" s="267"/>
      <c r="L238" s="267"/>
      <c r="M238" s="267"/>
      <c r="N238" s="267"/>
      <c r="O238" s="259"/>
      <c r="P238" s="272"/>
      <c r="Q238" s="284"/>
      <c r="R238" s="272"/>
      <c r="S238" s="286"/>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f ca="1">OFFSET($G$7,2*(D253+1)-1,0)</f>
        <v>0</v>
      </c>
      <c r="L256" s="234"/>
      <c r="M256" s="235"/>
      <c r="N256" s="394" t="s">
        <v>125</v>
      </c>
      <c r="O256" s="395"/>
      <c r="P256" s="396"/>
      <c r="Q256" s="236" t="s">
        <v>124</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c r="E260" s="96" t="s">
        <v>77</v>
      </c>
      <c r="F260" s="97" t="s">
        <v>78</v>
      </c>
      <c r="G260" s="65" t="s">
        <v>129</v>
      </c>
      <c r="H260" s="66"/>
      <c r="I260" s="66"/>
      <c r="J260" s="66"/>
      <c r="K260" s="66"/>
      <c r="L260" s="66"/>
      <c r="M260" s="66"/>
      <c r="N260" s="68"/>
      <c r="O260" s="68"/>
      <c r="P260" s="68"/>
      <c r="Q260" s="68"/>
      <c r="R260" s="68"/>
      <c r="S260" s="69"/>
      <c r="U260" s="289"/>
      <c r="V260" s="290"/>
    </row>
    <row r="261" spans="1:22" ht="15" thickBot="1" x14ac:dyDescent="0.4">
      <c r="A261" s="8" t="s">
        <v>75</v>
      </c>
      <c r="C261"/>
      <c r="D261" s="251"/>
      <c r="E261" s="70" t="s">
        <v>79</v>
      </c>
      <c r="F261" s="12"/>
      <c r="G261" s="79"/>
      <c r="H261" s="80"/>
      <c r="I261" s="80"/>
      <c r="J261" s="80"/>
      <c r="K261" s="80"/>
      <c r="L261" s="80"/>
      <c r="M261" s="80"/>
      <c r="N261" s="80"/>
      <c r="O261" s="80"/>
      <c r="P261" s="80"/>
      <c r="Q261" s="80"/>
      <c r="R261" s="80"/>
      <c r="S261" s="80"/>
      <c r="U261" s="199">
        <v>0</v>
      </c>
      <c r="V261" s="200" t="s">
        <v>21</v>
      </c>
    </row>
    <row r="262" spans="1:22" ht="15" thickBot="1" x14ac:dyDescent="0.4">
      <c r="A262" s="8" t="s">
        <v>75</v>
      </c>
      <c r="C262"/>
      <c r="D262" s="251"/>
      <c r="E262" s="77" t="s">
        <v>81</v>
      </c>
      <c r="F262" s="12"/>
      <c r="G262" s="79"/>
      <c r="H262" s="80"/>
      <c r="I262" s="80"/>
      <c r="J262" s="80"/>
      <c r="K262" s="80"/>
      <c r="L262" s="80"/>
      <c r="M262" s="80"/>
      <c r="N262" s="80"/>
      <c r="O262" s="80"/>
      <c r="P262" s="80"/>
      <c r="Q262" s="80"/>
      <c r="R262" s="80"/>
      <c r="S262" s="80"/>
      <c r="U262" s="33">
        <v>1</v>
      </c>
      <c r="V262" s="201" t="s">
        <v>22</v>
      </c>
    </row>
    <row r="263" spans="1:22" ht="15" thickBot="1" x14ac:dyDescent="0.4">
      <c r="A263" s="8" t="s">
        <v>75</v>
      </c>
      <c r="C263"/>
      <c r="D263" s="251"/>
      <c r="E263" s="77" t="s">
        <v>83</v>
      </c>
      <c r="F263" s="12"/>
      <c r="G263" s="79"/>
      <c r="H263" s="80"/>
      <c r="I263" s="80"/>
      <c r="J263" s="80"/>
      <c r="K263" s="80"/>
      <c r="L263" s="80"/>
      <c r="M263" s="80"/>
      <c r="N263" s="80"/>
      <c r="O263" s="80"/>
      <c r="P263" s="80"/>
      <c r="Q263" s="80"/>
      <c r="R263" s="80"/>
      <c r="S263" s="80"/>
      <c r="U263" s="41">
        <v>2</v>
      </c>
      <c r="V263" s="202" t="s">
        <v>25</v>
      </c>
    </row>
    <row r="264" spans="1:22" ht="15" thickBot="1" x14ac:dyDescent="0.4">
      <c r="A264" s="5" t="s">
        <v>75</v>
      </c>
      <c r="C264"/>
      <c r="D264" s="251"/>
      <c r="E264" s="77" t="s">
        <v>85</v>
      </c>
      <c r="F264" s="12"/>
      <c r="G264" s="79"/>
      <c r="H264" s="80"/>
      <c r="I264" s="80"/>
      <c r="J264" s="80"/>
      <c r="K264" s="80"/>
      <c r="L264" s="80"/>
      <c r="M264" s="80"/>
      <c r="N264" s="80"/>
      <c r="O264" s="80"/>
      <c r="P264" s="80"/>
      <c r="Q264" s="80"/>
      <c r="R264" s="80"/>
      <c r="S264" s="80"/>
      <c r="U264" s="38">
        <v>3</v>
      </c>
      <c r="V264" s="203" t="s">
        <v>26</v>
      </c>
    </row>
    <row r="265" spans="1:22" ht="15" thickBot="1" x14ac:dyDescent="0.4">
      <c r="A265" s="5" t="s">
        <v>75</v>
      </c>
      <c r="C265"/>
      <c r="D265" s="252"/>
      <c r="E265" s="77" t="s">
        <v>87</v>
      </c>
      <c r="F265" s="12"/>
      <c r="G265" s="79"/>
      <c r="H265" s="80"/>
      <c r="I265" s="80"/>
      <c r="J265" s="80"/>
      <c r="K265" s="80"/>
      <c r="L265" s="80"/>
      <c r="M265" s="80"/>
      <c r="N265" s="80"/>
      <c r="O265" s="80"/>
      <c r="P265" s="80"/>
      <c r="Q265" s="80"/>
      <c r="R265" s="80"/>
      <c r="S265" s="80"/>
      <c r="U265" s="35">
        <v>4</v>
      </c>
      <c r="V265" s="204" t="s">
        <v>29</v>
      </c>
    </row>
    <row r="266" spans="1:22" ht="15" thickBot="1" x14ac:dyDescent="0.4">
      <c r="A266" s="5" t="s">
        <v>75</v>
      </c>
      <c r="C266"/>
      <c r="D266" s="253" t="s">
        <v>37</v>
      </c>
      <c r="E266" s="77" t="s">
        <v>89</v>
      </c>
      <c r="F266" s="12"/>
      <c r="G266" s="79"/>
      <c r="H266" s="80"/>
      <c r="I266" s="80"/>
      <c r="J266" s="80"/>
      <c r="K266" s="80"/>
      <c r="L266" s="80"/>
      <c r="M266" s="80"/>
      <c r="N266" s="80"/>
      <c r="O266" s="80"/>
      <c r="P266" s="80"/>
      <c r="Q266" s="80"/>
      <c r="R266" s="80"/>
      <c r="S266" s="80"/>
      <c r="U266" s="46">
        <v>5</v>
      </c>
      <c r="V266" s="60" t="s">
        <v>30</v>
      </c>
    </row>
    <row r="267" spans="1:22" ht="15" thickBot="1" x14ac:dyDescent="0.4">
      <c r="A267" s="5" t="s">
        <v>75</v>
      </c>
      <c r="C267"/>
      <c r="D267" s="253"/>
      <c r="E267" s="77" t="s">
        <v>91</v>
      </c>
      <c r="F267" s="12"/>
      <c r="G267" s="79"/>
      <c r="H267" s="80"/>
      <c r="I267" s="80"/>
      <c r="J267" s="80"/>
      <c r="K267" s="80"/>
      <c r="L267" s="80"/>
      <c r="M267" s="80"/>
      <c r="N267" s="80"/>
      <c r="O267" s="80"/>
      <c r="P267" s="80"/>
      <c r="Q267" s="80"/>
      <c r="R267" s="80"/>
      <c r="S267" s="80"/>
    </row>
    <row r="268" spans="1:22" ht="15.75" customHeight="1" thickBot="1" x14ac:dyDescent="0.4">
      <c r="A268" s="5" t="s">
        <v>75</v>
      </c>
      <c r="C268"/>
      <c r="D268" s="243"/>
      <c r="E268" s="77" t="s">
        <v>94</v>
      </c>
      <c r="F268" s="12"/>
      <c r="G268" s="79"/>
      <c r="H268" s="80"/>
      <c r="I268" s="80"/>
      <c r="J268" s="80"/>
      <c r="K268" s="80"/>
      <c r="L268" s="80"/>
      <c r="M268" s="80"/>
      <c r="N268" s="80"/>
      <c r="O268" s="80"/>
      <c r="P268" s="80"/>
      <c r="Q268" s="80"/>
      <c r="R268" s="80"/>
      <c r="S268" s="80"/>
    </row>
    <row r="269" spans="1:22" ht="15" thickBot="1" x14ac:dyDescent="0.4">
      <c r="A269" s="5" t="s">
        <v>75</v>
      </c>
      <c r="C269"/>
      <c r="D269" s="244"/>
      <c r="E269" s="77" t="s">
        <v>96</v>
      </c>
      <c r="F269" s="12"/>
      <c r="G269" s="79"/>
      <c r="H269" s="80"/>
      <c r="I269" s="80"/>
      <c r="J269" s="80"/>
      <c r="K269" s="80"/>
      <c r="L269" s="80"/>
      <c r="M269" s="80"/>
      <c r="N269" s="80"/>
      <c r="O269" s="80"/>
      <c r="P269" s="80"/>
      <c r="Q269" s="80"/>
      <c r="R269" s="80"/>
      <c r="S269" s="80"/>
    </row>
    <row r="270" spans="1:22" ht="15" thickBot="1" x14ac:dyDescent="0.4">
      <c r="A270" s="5" t="s">
        <v>75</v>
      </c>
      <c r="C270"/>
      <c r="D270" s="245"/>
      <c r="E270" s="77" t="s">
        <v>99</v>
      </c>
      <c r="F270" s="12"/>
      <c r="G270" s="79"/>
      <c r="H270" s="80"/>
      <c r="I270" s="80"/>
      <c r="J270" s="80"/>
      <c r="K270" s="80"/>
      <c r="L270" s="80"/>
      <c r="M270" s="80"/>
      <c r="N270" s="80"/>
      <c r="O270" s="80"/>
      <c r="P270" s="80"/>
      <c r="Q270" s="80"/>
      <c r="R270" s="80"/>
      <c r="S270" s="80"/>
    </row>
    <row r="271" spans="1:22" ht="15" thickBot="1" x14ac:dyDescent="0.4">
      <c r="A271" s="5" t="s">
        <v>75</v>
      </c>
      <c r="C271"/>
      <c r="D271" s="246"/>
      <c r="E271" s="77" t="s">
        <v>101</v>
      </c>
      <c r="F271" s="12"/>
      <c r="G271" s="79"/>
      <c r="H271" s="80"/>
      <c r="I271" s="80"/>
      <c r="J271" s="80"/>
      <c r="K271" s="80"/>
      <c r="L271" s="80"/>
      <c r="M271" s="80"/>
      <c r="N271" s="80"/>
      <c r="O271" s="80"/>
      <c r="P271" s="80"/>
      <c r="Q271" s="80"/>
      <c r="R271" s="80"/>
      <c r="S271" s="80"/>
    </row>
    <row r="272" spans="1:22" ht="15" thickBot="1" x14ac:dyDescent="0.4">
      <c r="A272" s="5" t="s">
        <v>75</v>
      </c>
      <c r="C272"/>
      <c r="D272" s="245"/>
      <c r="E272" s="77" t="s">
        <v>104</v>
      </c>
      <c r="F272" s="12"/>
      <c r="G272" s="79"/>
      <c r="H272" s="80"/>
      <c r="I272" s="80"/>
      <c r="J272" s="80"/>
      <c r="K272" s="80"/>
      <c r="L272" s="80"/>
      <c r="M272" s="80"/>
      <c r="N272" s="80"/>
      <c r="O272" s="80"/>
      <c r="P272" s="80"/>
      <c r="Q272" s="80"/>
      <c r="R272" s="80"/>
      <c r="S272" s="80"/>
    </row>
    <row r="273" spans="1:19" ht="15" thickBot="1" x14ac:dyDescent="0.4">
      <c r="A273" s="5" t="s">
        <v>75</v>
      </c>
      <c r="C273"/>
      <c r="D273" s="246"/>
      <c r="E273" s="77" t="s">
        <v>106</v>
      </c>
      <c r="F273" s="12"/>
      <c r="G273" s="79"/>
      <c r="H273" s="80"/>
      <c r="I273" s="80"/>
      <c r="J273" s="80"/>
      <c r="K273" s="80"/>
      <c r="L273" s="80"/>
      <c r="M273" s="80"/>
      <c r="N273" s="80"/>
      <c r="O273" s="80"/>
      <c r="P273" s="80"/>
      <c r="Q273" s="80"/>
      <c r="R273" s="80"/>
      <c r="S273" s="80"/>
    </row>
    <row r="274" spans="1:19" ht="15" thickBot="1" x14ac:dyDescent="0.4">
      <c r="A274" s="5" t="s">
        <v>75</v>
      </c>
      <c r="C274"/>
      <c r="D274" s="245"/>
      <c r="E274" s="77" t="s">
        <v>109</v>
      </c>
      <c r="F274" s="12"/>
      <c r="G274" s="79"/>
      <c r="H274" s="80"/>
      <c r="I274" s="80"/>
      <c r="J274" s="80"/>
      <c r="K274" s="80"/>
      <c r="L274" s="80"/>
      <c r="M274" s="80"/>
      <c r="N274" s="80"/>
      <c r="O274" s="80"/>
      <c r="P274" s="80"/>
      <c r="Q274" s="80"/>
      <c r="R274" s="80"/>
      <c r="S274" s="80"/>
    </row>
    <row r="275" spans="1:19" ht="15" thickBot="1" x14ac:dyDescent="0.4">
      <c r="A275" s="5" t="s">
        <v>75</v>
      </c>
      <c r="C275"/>
      <c r="D275" s="244"/>
      <c r="E275" s="85" t="s">
        <v>111</v>
      </c>
      <c r="F275" s="12"/>
      <c r="G275" s="79"/>
      <c r="H275" s="80"/>
      <c r="I275" s="80"/>
      <c r="J275" s="80"/>
      <c r="K275" s="80"/>
      <c r="L275" s="80"/>
      <c r="M275" s="80"/>
      <c r="N275" s="80"/>
      <c r="O275" s="80"/>
      <c r="P275" s="80"/>
      <c r="Q275" s="80"/>
      <c r="R275" s="80"/>
      <c r="S275" s="80"/>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54" t="s">
        <v>119</v>
      </c>
      <c r="G277" s="255"/>
      <c r="H277" s="260" t="s">
        <v>120</v>
      </c>
      <c r="I277" s="264"/>
      <c r="J277" s="264"/>
      <c r="K277" s="264"/>
      <c r="L277" s="264"/>
      <c r="M277" s="264"/>
      <c r="N277" s="264"/>
      <c r="O277" s="255"/>
      <c r="P277" s="268" t="s">
        <v>11</v>
      </c>
      <c r="Q277" s="282"/>
      <c r="R277" s="393" t="s">
        <v>121</v>
      </c>
      <c r="S277" s="285"/>
    </row>
    <row r="278" spans="1:19" ht="12.75" customHeight="1" x14ac:dyDescent="0.35">
      <c r="A278" s="5" t="s">
        <v>75</v>
      </c>
      <c r="C278"/>
      <c r="D278" s="256"/>
      <c r="E278" s="257"/>
      <c r="F278" s="256"/>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56"/>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58"/>
      <c r="G280" s="259"/>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54" t="s">
        <v>119</v>
      </c>
      <c r="G281" s="255"/>
      <c r="H281" s="260" t="s">
        <v>120</v>
      </c>
      <c r="I281" s="264"/>
      <c r="J281" s="264"/>
      <c r="K281" s="264"/>
      <c r="L281" s="264"/>
      <c r="M281" s="264"/>
      <c r="N281" s="264"/>
      <c r="O281" s="255"/>
      <c r="P281" s="268" t="s">
        <v>11</v>
      </c>
      <c r="Q281" s="282"/>
      <c r="R281" s="393" t="s">
        <v>121</v>
      </c>
      <c r="S281" s="285"/>
    </row>
    <row r="282" spans="1:19" ht="12.75" customHeight="1" x14ac:dyDescent="0.35">
      <c r="A282" s="5" t="s">
        <v>75</v>
      </c>
      <c r="C282"/>
      <c r="D282" s="256"/>
      <c r="E282" s="257"/>
      <c r="F282" s="256"/>
      <c r="G282" s="257"/>
      <c r="H282" s="261"/>
      <c r="I282" s="265"/>
      <c r="J282" s="265"/>
      <c r="K282" s="265"/>
      <c r="L282" s="265"/>
      <c r="M282" s="265"/>
      <c r="N282" s="265"/>
      <c r="O282" s="257"/>
      <c r="P282" s="270"/>
      <c r="Q282" s="283"/>
      <c r="R282" s="270"/>
      <c r="S282" s="280"/>
    </row>
    <row r="283" spans="1:19" ht="12.75" customHeight="1" x14ac:dyDescent="0.35">
      <c r="A283" s="5" t="s">
        <v>75</v>
      </c>
      <c r="C283"/>
      <c r="D283" s="256"/>
      <c r="E283" s="257"/>
      <c r="F283" s="256"/>
      <c r="G283" s="257"/>
      <c r="H283" s="261"/>
      <c r="I283" s="265"/>
      <c r="J283" s="265"/>
      <c r="K283" s="265"/>
      <c r="L283" s="265"/>
      <c r="M283" s="265"/>
      <c r="N283" s="265"/>
      <c r="O283" s="257"/>
      <c r="P283" s="270"/>
      <c r="Q283" s="283"/>
      <c r="R283" s="270"/>
      <c r="S283" s="280"/>
    </row>
    <row r="284" spans="1:19" ht="12.75" customHeight="1" thickBot="1" x14ac:dyDescent="0.4">
      <c r="A284" s="5" t="s">
        <v>75</v>
      </c>
      <c r="C284"/>
      <c r="D284" s="258"/>
      <c r="E284" s="259"/>
      <c r="F284" s="258"/>
      <c r="G284" s="259"/>
      <c r="H284" s="266"/>
      <c r="I284" s="267"/>
      <c r="J284" s="267"/>
      <c r="K284" s="267"/>
      <c r="L284" s="267"/>
      <c r="M284" s="267"/>
      <c r="N284" s="267"/>
      <c r="O284" s="259"/>
      <c r="P284" s="272"/>
      <c r="Q284" s="284"/>
      <c r="R284" s="272"/>
      <c r="S284" s="286"/>
    </row>
    <row r="285" spans="1:19" ht="12.75" customHeight="1" x14ac:dyDescent="0.35">
      <c r="A285" s="5" t="s">
        <v>75</v>
      </c>
      <c r="C285"/>
      <c r="D285" s="254" t="s">
        <v>118</v>
      </c>
      <c r="E285" s="255"/>
      <c r="F285" s="254" t="s">
        <v>119</v>
      </c>
      <c r="G285" s="255"/>
      <c r="H285" s="260" t="s">
        <v>120</v>
      </c>
      <c r="I285" s="264"/>
      <c r="J285" s="264"/>
      <c r="K285" s="264"/>
      <c r="L285" s="264"/>
      <c r="M285" s="264"/>
      <c r="N285" s="264"/>
      <c r="O285" s="255"/>
      <c r="P285" s="268" t="s">
        <v>11</v>
      </c>
      <c r="Q285" s="282"/>
      <c r="R285" s="393" t="s">
        <v>121</v>
      </c>
      <c r="S285" s="285"/>
    </row>
    <row r="286" spans="1:19" ht="12.75" customHeight="1" x14ac:dyDescent="0.35">
      <c r="A286" s="5" t="s">
        <v>75</v>
      </c>
      <c r="C286"/>
      <c r="D286" s="256"/>
      <c r="E286" s="257"/>
      <c r="F286" s="256"/>
      <c r="G286" s="257"/>
      <c r="H286" s="261"/>
      <c r="I286" s="265"/>
      <c r="J286" s="265"/>
      <c r="K286" s="265"/>
      <c r="L286" s="265"/>
      <c r="M286" s="265"/>
      <c r="N286" s="265"/>
      <c r="O286" s="257"/>
      <c r="P286" s="270"/>
      <c r="Q286" s="283"/>
      <c r="R286" s="270"/>
      <c r="S286" s="280"/>
    </row>
    <row r="287" spans="1:19" ht="12.75" customHeight="1" x14ac:dyDescent="0.35">
      <c r="A287" s="5" t="s">
        <v>75</v>
      </c>
      <c r="C287"/>
      <c r="D287" s="256"/>
      <c r="E287" s="257"/>
      <c r="F287" s="256"/>
      <c r="G287" s="257"/>
      <c r="H287" s="261"/>
      <c r="I287" s="265"/>
      <c r="J287" s="265"/>
      <c r="K287" s="265"/>
      <c r="L287" s="265"/>
      <c r="M287" s="265"/>
      <c r="N287" s="265"/>
      <c r="O287" s="257"/>
      <c r="P287" s="270"/>
      <c r="Q287" s="283"/>
      <c r="R287" s="270"/>
      <c r="S287" s="280"/>
    </row>
    <row r="288" spans="1:19" ht="12.75" customHeight="1" x14ac:dyDescent="0.35">
      <c r="A288" s="5" t="s">
        <v>75</v>
      </c>
      <c r="C288"/>
      <c r="D288" s="258"/>
      <c r="E288" s="259"/>
      <c r="F288" s="258"/>
      <c r="G288" s="259"/>
      <c r="H288" s="266"/>
      <c r="I288" s="267"/>
      <c r="J288" s="267"/>
      <c r="K288" s="267"/>
      <c r="L288" s="267"/>
      <c r="M288" s="267"/>
      <c r="N288" s="267"/>
      <c r="O288" s="259"/>
      <c r="P288" s="272"/>
      <c r="Q288" s="284"/>
      <c r="R288" s="272"/>
      <c r="S288" s="286"/>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f ca="1">OFFSET($G$7,2*(D303+1)-1,0)</f>
        <v>0</v>
      </c>
      <c r="L306" s="234"/>
      <c r="M306" s="235"/>
      <c r="N306" s="394" t="s">
        <v>125</v>
      </c>
      <c r="O306" s="395"/>
      <c r="P306" s="396"/>
      <c r="Q306" s="236" t="s">
        <v>124</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c r="E310" s="96" t="s">
        <v>77</v>
      </c>
      <c r="F310" s="97" t="s">
        <v>78</v>
      </c>
      <c r="G310" s="65" t="s">
        <v>130</v>
      </c>
      <c r="H310" s="66">
        <v>0</v>
      </c>
      <c r="I310" s="66"/>
      <c r="J310" s="66"/>
      <c r="K310" s="66"/>
      <c r="L310" s="66"/>
      <c r="M310" s="66"/>
      <c r="N310" s="68"/>
      <c r="O310" s="68"/>
      <c r="P310" s="68"/>
      <c r="Q310" s="68"/>
      <c r="R310" s="68"/>
      <c r="S310" s="69"/>
      <c r="U310" s="289"/>
      <c r="V310" s="290"/>
    </row>
    <row r="311" spans="1:22" ht="15" thickBot="1" x14ac:dyDescent="0.4">
      <c r="A311" s="8" t="s">
        <v>75</v>
      </c>
      <c r="C311"/>
      <c r="D311" s="251"/>
      <c r="E311" s="70" t="s">
        <v>79</v>
      </c>
      <c r="F311" s="12"/>
      <c r="G311" s="79"/>
      <c r="H311" s="80"/>
      <c r="I311" s="80"/>
      <c r="J311" s="80"/>
      <c r="K311" s="80"/>
      <c r="L311" s="80"/>
      <c r="M311" s="80"/>
      <c r="N311" s="80"/>
      <c r="O311" s="80"/>
      <c r="P311" s="80"/>
      <c r="Q311" s="80"/>
      <c r="R311" s="80"/>
      <c r="S311" s="80"/>
      <c r="U311" s="199">
        <v>0</v>
      </c>
      <c r="V311" s="200" t="s">
        <v>21</v>
      </c>
    </row>
    <row r="312" spans="1:22" ht="15" thickBot="1" x14ac:dyDescent="0.4">
      <c r="A312" s="8" t="s">
        <v>75</v>
      </c>
      <c r="C312"/>
      <c r="D312" s="251"/>
      <c r="E312" s="77" t="s">
        <v>81</v>
      </c>
      <c r="F312" s="12"/>
      <c r="G312" s="79"/>
      <c r="H312" s="80"/>
      <c r="I312" s="80"/>
      <c r="J312" s="80"/>
      <c r="K312" s="80"/>
      <c r="L312" s="80"/>
      <c r="M312" s="80"/>
      <c r="N312" s="80"/>
      <c r="O312" s="80"/>
      <c r="P312" s="80"/>
      <c r="Q312" s="80"/>
      <c r="R312" s="80"/>
      <c r="S312" s="80"/>
      <c r="U312" s="33">
        <v>1</v>
      </c>
      <c r="V312" s="201" t="s">
        <v>22</v>
      </c>
    </row>
    <row r="313" spans="1:22" ht="15" thickBot="1" x14ac:dyDescent="0.4">
      <c r="A313" s="8" t="s">
        <v>75</v>
      </c>
      <c r="C313"/>
      <c r="D313" s="251"/>
      <c r="E313" s="77" t="s">
        <v>83</v>
      </c>
      <c r="F313" s="12"/>
      <c r="G313" s="79"/>
      <c r="H313" s="80"/>
      <c r="I313" s="80"/>
      <c r="J313" s="80"/>
      <c r="K313" s="80"/>
      <c r="L313" s="80"/>
      <c r="M313" s="80"/>
      <c r="N313" s="80"/>
      <c r="O313" s="80"/>
      <c r="P313" s="80"/>
      <c r="Q313" s="80"/>
      <c r="R313" s="80"/>
      <c r="S313" s="80"/>
      <c r="U313" s="41">
        <v>2</v>
      </c>
      <c r="V313" s="202" t="s">
        <v>25</v>
      </c>
    </row>
    <row r="314" spans="1:22" ht="15" thickBot="1" x14ac:dyDescent="0.4">
      <c r="A314" s="5" t="s">
        <v>75</v>
      </c>
      <c r="C314"/>
      <c r="D314" s="251"/>
      <c r="E314" s="77" t="s">
        <v>85</v>
      </c>
      <c r="F314" s="12"/>
      <c r="G314" s="79"/>
      <c r="H314" s="80"/>
      <c r="I314" s="80"/>
      <c r="J314" s="80"/>
      <c r="K314" s="80"/>
      <c r="L314" s="80"/>
      <c r="M314" s="80"/>
      <c r="N314" s="80"/>
      <c r="O314" s="80"/>
      <c r="P314" s="80"/>
      <c r="Q314" s="80"/>
      <c r="R314" s="80"/>
      <c r="S314" s="80"/>
      <c r="U314" s="38">
        <v>3</v>
      </c>
      <c r="V314" s="203" t="s">
        <v>26</v>
      </c>
    </row>
    <row r="315" spans="1:22" ht="15" thickBot="1" x14ac:dyDescent="0.4">
      <c r="A315" s="5" t="s">
        <v>75</v>
      </c>
      <c r="C315"/>
      <c r="D315" s="252"/>
      <c r="E315" s="77" t="s">
        <v>87</v>
      </c>
      <c r="F315" s="12"/>
      <c r="G315" s="79"/>
      <c r="H315" s="80"/>
      <c r="I315" s="80"/>
      <c r="J315" s="80"/>
      <c r="K315" s="80"/>
      <c r="L315" s="80"/>
      <c r="M315" s="80"/>
      <c r="N315" s="80"/>
      <c r="O315" s="80"/>
      <c r="P315" s="80"/>
      <c r="Q315" s="80"/>
      <c r="R315" s="80"/>
      <c r="S315" s="80"/>
      <c r="U315" s="35">
        <v>4</v>
      </c>
      <c r="V315" s="204" t="s">
        <v>29</v>
      </c>
    </row>
    <row r="316" spans="1:22" ht="15" thickBot="1" x14ac:dyDescent="0.4">
      <c r="A316" s="5" t="s">
        <v>75</v>
      </c>
      <c r="C316"/>
      <c r="D316" s="253" t="s">
        <v>37</v>
      </c>
      <c r="E316" s="77" t="s">
        <v>89</v>
      </c>
      <c r="F316" s="12"/>
      <c r="G316" s="79"/>
      <c r="H316" s="80"/>
      <c r="I316" s="80"/>
      <c r="J316" s="80"/>
      <c r="K316" s="80"/>
      <c r="L316" s="80"/>
      <c r="M316" s="80"/>
      <c r="N316" s="80"/>
      <c r="O316" s="80"/>
      <c r="P316" s="80"/>
      <c r="Q316" s="80"/>
      <c r="R316" s="80"/>
      <c r="S316" s="80"/>
      <c r="U316" s="46">
        <v>5</v>
      </c>
      <c r="V316" s="60" t="s">
        <v>30</v>
      </c>
    </row>
    <row r="317" spans="1:22" ht="15" thickBot="1" x14ac:dyDescent="0.4">
      <c r="A317" s="5" t="s">
        <v>75</v>
      </c>
      <c r="C317"/>
      <c r="D317" s="253"/>
      <c r="E317" s="77" t="s">
        <v>91</v>
      </c>
      <c r="F317" s="12"/>
      <c r="G317" s="79"/>
      <c r="H317" s="80"/>
      <c r="I317" s="80"/>
      <c r="J317" s="80"/>
      <c r="K317" s="80"/>
      <c r="L317" s="80"/>
      <c r="M317" s="80"/>
      <c r="N317" s="80"/>
      <c r="O317" s="80"/>
      <c r="P317" s="80"/>
      <c r="Q317" s="80"/>
      <c r="R317" s="80"/>
      <c r="S317" s="80"/>
    </row>
    <row r="318" spans="1:22" ht="15.75" customHeight="1" thickBot="1" x14ac:dyDescent="0.4">
      <c r="A318" s="5" t="s">
        <v>75</v>
      </c>
      <c r="C318"/>
      <c r="D318" s="243"/>
      <c r="E318" s="77" t="s">
        <v>94</v>
      </c>
      <c r="F318" s="12"/>
      <c r="G318" s="79"/>
      <c r="H318" s="80"/>
      <c r="I318" s="80"/>
      <c r="J318" s="80"/>
      <c r="K318" s="80"/>
      <c r="L318" s="80"/>
      <c r="M318" s="80"/>
      <c r="N318" s="80"/>
      <c r="O318" s="80"/>
      <c r="P318" s="80"/>
      <c r="Q318" s="80"/>
      <c r="R318" s="80"/>
      <c r="S318" s="80"/>
    </row>
    <row r="319" spans="1:22" ht="15" thickBot="1" x14ac:dyDescent="0.4">
      <c r="A319" s="5" t="s">
        <v>75</v>
      </c>
      <c r="C319"/>
      <c r="D319" s="244"/>
      <c r="E319" s="77" t="s">
        <v>96</v>
      </c>
      <c r="F319" s="12">
        <v>0</v>
      </c>
      <c r="G319" s="79"/>
      <c r="H319" s="80"/>
      <c r="I319" s="80"/>
      <c r="J319" s="80"/>
      <c r="K319" s="80"/>
      <c r="L319" s="80"/>
      <c r="M319" s="80"/>
      <c r="N319" s="80"/>
      <c r="O319" s="80"/>
      <c r="P319" s="80"/>
      <c r="Q319" s="80"/>
      <c r="R319" s="80"/>
      <c r="S319" s="80"/>
    </row>
    <row r="320" spans="1:22" ht="15" thickBot="1" x14ac:dyDescent="0.4">
      <c r="A320" s="5" t="s">
        <v>75</v>
      </c>
      <c r="C320"/>
      <c r="D320" s="245"/>
      <c r="E320" s="77" t="s">
        <v>99</v>
      </c>
      <c r="F320" s="12">
        <v>0</v>
      </c>
      <c r="G320" s="79"/>
      <c r="H320" s="80"/>
      <c r="I320" s="80"/>
      <c r="J320" s="80"/>
      <c r="K320" s="80"/>
      <c r="L320" s="80"/>
      <c r="M320" s="80"/>
      <c r="N320" s="80"/>
      <c r="O320" s="80"/>
      <c r="P320" s="80"/>
      <c r="Q320" s="80"/>
      <c r="R320" s="80"/>
      <c r="S320" s="80"/>
    </row>
    <row r="321" spans="1:19" ht="15" thickBot="1" x14ac:dyDescent="0.4">
      <c r="A321" s="5" t="s">
        <v>75</v>
      </c>
      <c r="C321"/>
      <c r="D321" s="246"/>
      <c r="E321" s="77" t="s">
        <v>101</v>
      </c>
      <c r="F321" s="12">
        <v>0</v>
      </c>
      <c r="G321" s="79"/>
      <c r="H321" s="80"/>
      <c r="I321" s="80"/>
      <c r="J321" s="80"/>
      <c r="K321" s="80"/>
      <c r="L321" s="80"/>
      <c r="M321" s="80"/>
      <c r="N321" s="80"/>
      <c r="O321" s="80"/>
      <c r="P321" s="80"/>
      <c r="Q321" s="80"/>
      <c r="R321" s="80"/>
      <c r="S321" s="80"/>
    </row>
    <row r="322" spans="1:19" ht="15" thickBot="1" x14ac:dyDescent="0.4">
      <c r="A322" s="5" t="s">
        <v>75</v>
      </c>
      <c r="C322"/>
      <c r="D322" s="245"/>
      <c r="E322" s="77" t="s">
        <v>104</v>
      </c>
      <c r="F322" s="12">
        <v>0</v>
      </c>
      <c r="G322" s="79"/>
      <c r="H322" s="80"/>
      <c r="I322" s="80"/>
      <c r="J322" s="80"/>
      <c r="K322" s="80"/>
      <c r="L322" s="80"/>
      <c r="M322" s="80"/>
      <c r="N322" s="80"/>
      <c r="O322" s="80"/>
      <c r="P322" s="80"/>
      <c r="Q322" s="80"/>
      <c r="R322" s="80"/>
      <c r="S322" s="80"/>
    </row>
    <row r="323" spans="1:19" ht="15" thickBot="1" x14ac:dyDescent="0.4">
      <c r="A323" s="5" t="s">
        <v>75</v>
      </c>
      <c r="C323"/>
      <c r="D323" s="246"/>
      <c r="E323" s="77" t="s">
        <v>106</v>
      </c>
      <c r="F323" s="12">
        <v>0</v>
      </c>
      <c r="G323" s="79"/>
      <c r="H323" s="80"/>
      <c r="I323" s="80"/>
      <c r="J323" s="80"/>
      <c r="K323" s="80"/>
      <c r="L323" s="80"/>
      <c r="M323" s="80"/>
      <c r="N323" s="80"/>
      <c r="O323" s="80"/>
      <c r="P323" s="80"/>
      <c r="Q323" s="80"/>
      <c r="R323" s="80"/>
      <c r="S323" s="80"/>
    </row>
    <row r="324" spans="1:19" ht="15" thickBot="1" x14ac:dyDescent="0.4">
      <c r="A324" s="5" t="s">
        <v>75</v>
      </c>
      <c r="C324"/>
      <c r="D324" s="245"/>
      <c r="E324" s="77" t="s">
        <v>109</v>
      </c>
      <c r="F324" s="12">
        <v>0</v>
      </c>
      <c r="G324" s="79"/>
      <c r="H324" s="80"/>
      <c r="I324" s="80"/>
      <c r="J324" s="80"/>
      <c r="K324" s="80"/>
      <c r="L324" s="80"/>
      <c r="M324" s="80"/>
      <c r="N324" s="80"/>
      <c r="O324" s="80"/>
      <c r="P324" s="80"/>
      <c r="Q324" s="80"/>
      <c r="R324" s="80"/>
      <c r="S324" s="80"/>
    </row>
    <row r="325" spans="1:19" ht="15" thickBot="1" x14ac:dyDescent="0.4">
      <c r="A325" s="5" t="s">
        <v>75</v>
      </c>
      <c r="C325"/>
      <c r="D325" s="244"/>
      <c r="E325" s="85" t="s">
        <v>111</v>
      </c>
      <c r="F325" s="12">
        <v>0</v>
      </c>
      <c r="G325" s="79"/>
      <c r="H325" s="80"/>
      <c r="I325" s="80"/>
      <c r="J325" s="80"/>
      <c r="K325" s="80"/>
      <c r="L325" s="80"/>
      <c r="M325" s="80"/>
      <c r="N325" s="80"/>
      <c r="O325" s="80"/>
      <c r="P325" s="80"/>
      <c r="Q325" s="80"/>
      <c r="R325" s="80"/>
      <c r="S325" s="80"/>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131</v>
      </c>
      <c r="E327" s="255"/>
      <c r="F327" s="254" t="s">
        <v>131</v>
      </c>
      <c r="G327" s="255"/>
      <c r="H327" s="260" t="s">
        <v>131</v>
      </c>
      <c r="I327" s="264"/>
      <c r="J327" s="264"/>
      <c r="K327" s="264"/>
      <c r="L327" s="264"/>
      <c r="M327" s="264"/>
      <c r="N327" s="264"/>
      <c r="O327" s="255"/>
      <c r="P327" s="268" t="s">
        <v>131</v>
      </c>
      <c r="Q327" s="282"/>
      <c r="R327" s="393" t="s">
        <v>131</v>
      </c>
      <c r="S327" s="285"/>
    </row>
    <row r="328" spans="1:19" ht="12.75" customHeight="1" x14ac:dyDescent="0.35">
      <c r="A328" s="5" t="s">
        <v>75</v>
      </c>
      <c r="C328"/>
      <c r="D328" s="256"/>
      <c r="E328" s="257"/>
      <c r="F328" s="256"/>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56"/>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58"/>
      <c r="G330" s="259"/>
      <c r="H330" s="266"/>
      <c r="I330" s="267"/>
      <c r="J330" s="267"/>
      <c r="K330" s="267"/>
      <c r="L330" s="267"/>
      <c r="M330" s="267"/>
      <c r="N330" s="267"/>
      <c r="O330" s="259"/>
      <c r="P330" s="272"/>
      <c r="Q330" s="284"/>
      <c r="R330" s="272"/>
      <c r="S330" s="286"/>
    </row>
    <row r="331" spans="1:19" ht="12.75" customHeight="1" x14ac:dyDescent="0.35">
      <c r="A331" s="5" t="s">
        <v>75</v>
      </c>
      <c r="C331"/>
      <c r="D331" s="254" t="s">
        <v>131</v>
      </c>
      <c r="E331" s="255"/>
      <c r="F331" s="254" t="s">
        <v>131</v>
      </c>
      <c r="G331" s="255"/>
      <c r="H331" s="260" t="s">
        <v>131</v>
      </c>
      <c r="I331" s="264"/>
      <c r="J331" s="264"/>
      <c r="K331" s="264"/>
      <c r="L331" s="264"/>
      <c r="M331" s="264"/>
      <c r="N331" s="264"/>
      <c r="O331" s="255"/>
      <c r="P331" s="268" t="s">
        <v>131</v>
      </c>
      <c r="Q331" s="282"/>
      <c r="R331" s="393" t="s">
        <v>131</v>
      </c>
      <c r="S331" s="285"/>
    </row>
    <row r="332" spans="1:19" ht="12.75" customHeight="1" x14ac:dyDescent="0.35">
      <c r="A332" s="5" t="s">
        <v>75</v>
      </c>
      <c r="C332"/>
      <c r="D332" s="256"/>
      <c r="E332" s="257"/>
      <c r="F332" s="256"/>
      <c r="G332" s="257"/>
      <c r="H332" s="261"/>
      <c r="I332" s="265"/>
      <c r="J332" s="265"/>
      <c r="K332" s="265"/>
      <c r="L332" s="265"/>
      <c r="M332" s="265"/>
      <c r="N332" s="265"/>
      <c r="O332" s="257"/>
      <c r="P332" s="270"/>
      <c r="Q332" s="283"/>
      <c r="R332" s="270"/>
      <c r="S332" s="280"/>
    </row>
    <row r="333" spans="1:19" ht="12.75" customHeight="1" x14ac:dyDescent="0.35">
      <c r="A333" s="5" t="s">
        <v>75</v>
      </c>
      <c r="C333"/>
      <c r="D333" s="256"/>
      <c r="E333" s="257"/>
      <c r="F333" s="256"/>
      <c r="G333" s="257"/>
      <c r="H333" s="261"/>
      <c r="I333" s="265"/>
      <c r="J333" s="265"/>
      <c r="K333" s="265"/>
      <c r="L333" s="265"/>
      <c r="M333" s="265"/>
      <c r="N333" s="265"/>
      <c r="O333" s="257"/>
      <c r="P333" s="270"/>
      <c r="Q333" s="283"/>
      <c r="R333" s="270"/>
      <c r="S333" s="280"/>
    </row>
    <row r="334" spans="1:19" ht="12.75" customHeight="1" thickBot="1" x14ac:dyDescent="0.4">
      <c r="A334" s="5" t="s">
        <v>75</v>
      </c>
      <c r="C334"/>
      <c r="D334" s="258"/>
      <c r="E334" s="259"/>
      <c r="F334" s="258"/>
      <c r="G334" s="259"/>
      <c r="H334" s="266"/>
      <c r="I334" s="267"/>
      <c r="J334" s="267"/>
      <c r="K334" s="267"/>
      <c r="L334" s="267"/>
      <c r="M334" s="267"/>
      <c r="N334" s="267"/>
      <c r="O334" s="259"/>
      <c r="P334" s="272"/>
      <c r="Q334" s="284"/>
      <c r="R334" s="272"/>
      <c r="S334" s="286"/>
    </row>
    <row r="335" spans="1:19" ht="12.75" customHeight="1" x14ac:dyDescent="0.35">
      <c r="A335" s="5" t="s">
        <v>75</v>
      </c>
      <c r="C335"/>
      <c r="D335" s="254" t="s">
        <v>131</v>
      </c>
      <c r="E335" s="255"/>
      <c r="F335" s="254" t="s">
        <v>131</v>
      </c>
      <c r="G335" s="255"/>
      <c r="H335" s="260" t="s">
        <v>131</v>
      </c>
      <c r="I335" s="264"/>
      <c r="J335" s="264"/>
      <c r="K335" s="264"/>
      <c r="L335" s="264"/>
      <c r="M335" s="264"/>
      <c r="N335" s="264"/>
      <c r="O335" s="255"/>
      <c r="P335" s="268" t="s">
        <v>131</v>
      </c>
      <c r="Q335" s="282"/>
      <c r="R335" s="393" t="s">
        <v>131</v>
      </c>
      <c r="S335" s="285"/>
    </row>
    <row r="336" spans="1:19" ht="12.75" customHeight="1" x14ac:dyDescent="0.35">
      <c r="A336" s="5" t="s">
        <v>75</v>
      </c>
      <c r="C336"/>
      <c r="D336" s="256"/>
      <c r="E336" s="257"/>
      <c r="F336" s="256"/>
      <c r="G336" s="257"/>
      <c r="H336" s="261"/>
      <c r="I336" s="265"/>
      <c r="J336" s="265"/>
      <c r="K336" s="265"/>
      <c r="L336" s="265"/>
      <c r="M336" s="265"/>
      <c r="N336" s="265"/>
      <c r="O336" s="257"/>
      <c r="P336" s="270"/>
      <c r="Q336" s="283"/>
      <c r="R336" s="270"/>
      <c r="S336" s="280"/>
    </row>
    <row r="337" spans="1:19" ht="12.75" customHeight="1" x14ac:dyDescent="0.35">
      <c r="A337" s="5" t="s">
        <v>75</v>
      </c>
      <c r="C337"/>
      <c r="D337" s="256"/>
      <c r="E337" s="257"/>
      <c r="F337" s="256"/>
      <c r="G337" s="257"/>
      <c r="H337" s="261"/>
      <c r="I337" s="265"/>
      <c r="J337" s="265"/>
      <c r="K337" s="265"/>
      <c r="L337" s="265"/>
      <c r="M337" s="265"/>
      <c r="N337" s="265"/>
      <c r="O337" s="257"/>
      <c r="P337" s="270"/>
      <c r="Q337" s="283"/>
      <c r="R337" s="270"/>
      <c r="S337" s="280"/>
    </row>
    <row r="338" spans="1:19" ht="12.75" customHeight="1" x14ac:dyDescent="0.35">
      <c r="A338" s="5" t="s">
        <v>75</v>
      </c>
      <c r="C338"/>
      <c r="D338" s="258"/>
      <c r="E338" s="259"/>
      <c r="F338" s="258"/>
      <c r="G338" s="259"/>
      <c r="H338" s="266"/>
      <c r="I338" s="267"/>
      <c r="J338" s="267"/>
      <c r="K338" s="267"/>
      <c r="L338" s="267"/>
      <c r="M338" s="267"/>
      <c r="N338" s="267"/>
      <c r="O338" s="259"/>
      <c r="P338" s="272"/>
      <c r="Q338" s="284"/>
      <c r="R338" s="272"/>
      <c r="S338" s="286"/>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f ca="1">OFFSET($G$7,2*(D353+1)-1,0)</f>
        <v>0</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f ca="1">OFFSET($G$7,2*(D403+1)-1,0)</f>
        <v>0</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f ca="1">OFFSET($G$7,2*(D453+1)-1,0)</f>
        <v>0</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f ca="1">OFFSET($G$7,2*(D503+1)-1,0)</f>
        <v>0</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f ca="1">OFFSET($G$7,2*(D553+1)-1,0)</f>
        <v>0</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f ca="1">OFFSET($G$7,2*(D603+1)-1,0)</f>
        <v>0</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f ca="1">OFFSET($G$7,2*(D653+1)-1,0)</f>
        <v>0</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f ca="1">OFFSET($G$7,2*(D703+1)-1,0)</f>
        <v>0</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f ca="1">OFFSET($G$7,2*(D753+1)-1,0)</f>
        <v>0</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row r="791" spans="1:19" x14ac:dyDescent="0.35">
      <c r="A791" s="5" t="s">
        <v>75</v>
      </c>
    </row>
    <row r="792" spans="1:19" x14ac:dyDescent="0.35">
      <c r="A792" s="5" t="s">
        <v>75</v>
      </c>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2694" priority="409" stopIfTrue="1">
      <formula>IF(LEFT($A$7,2)="01",1,0)</formula>
    </cfRule>
    <cfRule type="expression" dxfId="2693" priority="417">
      <formula>IF(LEFT($A$7,2)="05",1,0)</formula>
    </cfRule>
    <cfRule type="expression" dxfId="2692" priority="416" stopIfTrue="1">
      <formula>IF(LEFT($A$7,2)="04",1,0)</formula>
    </cfRule>
    <cfRule type="expression" dxfId="2691" priority="415" stopIfTrue="1">
      <formula>IF(LEFT($A$7,2)="03",1,0)</formula>
    </cfRule>
    <cfRule type="expression" dxfId="2690" priority="414" stopIfTrue="1">
      <formula>IF(LEFT($A$7,2)="02",1,0)</formula>
    </cfRule>
  </conditionalFormatting>
  <conditionalFormatting sqref="D4:S4">
    <cfRule type="expression" dxfId="2689" priority="410">
      <formula>IF(LEFT($A$7,2)="02",1,0)</formula>
    </cfRule>
    <cfRule type="expression" dxfId="2688" priority="413">
      <formula>IF(LEFT($A$7,2)="05",1,0)</formula>
    </cfRule>
    <cfRule type="expression" dxfId="2687" priority="408">
      <formula>IF(LEFT($A$7,2)="01",1,0)</formula>
    </cfRule>
    <cfRule type="expression" dxfId="2686" priority="412">
      <formula>IF(LEFT($A$7,2)="04",1,0)</formula>
    </cfRule>
    <cfRule type="expression" dxfId="2685" priority="411">
      <formula>IF(LEFT($A$7,2)="03",1,0)</formula>
    </cfRule>
  </conditionalFormatting>
  <conditionalFormatting sqref="D54:S54">
    <cfRule type="expression" dxfId="2684" priority="326">
      <formula>IF(LEFT($A$7,2)="05",1,0)</formula>
    </cfRule>
    <cfRule type="expression" dxfId="2683" priority="322">
      <formula>IF(LEFT($A$7,2)="01",1,0)</formula>
    </cfRule>
    <cfRule type="expression" dxfId="2682" priority="323">
      <formula>IF(LEFT($A$7,2)="02",1,0)</formula>
    </cfRule>
    <cfRule type="expression" dxfId="2681" priority="324">
      <formula>IF(LEFT($A$7,2)="03",1,0)</formula>
    </cfRule>
    <cfRule type="expression" dxfId="2680" priority="325">
      <formula>IF(LEFT($A$7,2)="04",1,0)</formula>
    </cfRule>
  </conditionalFormatting>
  <conditionalFormatting sqref="D104:S104">
    <cfRule type="expression" dxfId="2679" priority="235">
      <formula>IF(LEFT($A$7,2)="04",1,0)</formula>
    </cfRule>
    <cfRule type="expression" dxfId="2678" priority="232">
      <formula>IF(LEFT($A$7,2)="01",1,0)</formula>
    </cfRule>
    <cfRule type="expression" dxfId="2677" priority="233">
      <formula>IF(LEFT($A$7,2)="02",1,0)</formula>
    </cfRule>
    <cfRule type="expression" dxfId="2676" priority="234">
      <formula>IF(LEFT($A$7,2)="03",1,0)</formula>
    </cfRule>
    <cfRule type="expression" dxfId="2675" priority="236">
      <formula>IF(LEFT($A$7,2)="05",1,0)</formula>
    </cfRule>
  </conditionalFormatting>
  <conditionalFormatting sqref="D154:S154">
    <cfRule type="expression" dxfId="2674" priority="227">
      <formula>IF(LEFT($A$7,2)="01",1,0)</formula>
    </cfRule>
    <cfRule type="expression" dxfId="2673" priority="228">
      <formula>IF(LEFT($A$7,2)="02",1,0)</formula>
    </cfRule>
    <cfRule type="expression" dxfId="2672" priority="229">
      <formula>IF(LEFT($A$7,2)="03",1,0)</formula>
    </cfRule>
    <cfRule type="expression" dxfId="2671" priority="230">
      <formula>IF(LEFT($A$7,2)="04",1,0)</formula>
    </cfRule>
    <cfRule type="expression" dxfId="2670" priority="231">
      <formula>IF(LEFT($A$7,2)="05",1,0)</formula>
    </cfRule>
  </conditionalFormatting>
  <conditionalFormatting sqref="D204:S204">
    <cfRule type="expression" dxfId="2669" priority="222">
      <formula>IF(LEFT($A$7,2)="01",1,0)</formula>
    </cfRule>
    <cfRule type="expression" dxfId="2668" priority="223">
      <formula>IF(LEFT($A$7,2)="02",1,0)</formula>
    </cfRule>
    <cfRule type="expression" dxfId="2667" priority="224">
      <formula>IF(LEFT($A$7,2)="03",1,0)</formula>
    </cfRule>
    <cfRule type="expression" dxfId="2666" priority="225">
      <formula>IF(LEFT($A$7,2)="04",1,0)</formula>
    </cfRule>
    <cfRule type="expression" dxfId="2665" priority="226">
      <formula>IF(LEFT($A$7,2)="05",1,0)</formula>
    </cfRule>
  </conditionalFormatting>
  <conditionalFormatting sqref="D254:S254">
    <cfRule type="expression" dxfId="2664" priority="217">
      <formula>IF(LEFT($A$7,2)="01",1,0)</formula>
    </cfRule>
    <cfRule type="expression" dxfId="2663" priority="218">
      <formula>IF(LEFT($A$7,2)="02",1,0)</formula>
    </cfRule>
    <cfRule type="expression" dxfId="2662" priority="220">
      <formula>IF(LEFT($A$7,2)="04",1,0)</formula>
    </cfRule>
    <cfRule type="expression" dxfId="2661" priority="221">
      <formula>IF(LEFT($A$7,2)="05",1,0)</formula>
    </cfRule>
    <cfRule type="expression" dxfId="2660" priority="219">
      <formula>IF(LEFT($A$7,2)="03",1,0)</formula>
    </cfRule>
  </conditionalFormatting>
  <conditionalFormatting sqref="D304:S304">
    <cfRule type="expression" dxfId="2659" priority="213">
      <formula>IF(LEFT($A$7,2)="02",1,0)</formula>
    </cfRule>
    <cfRule type="expression" dxfId="2658" priority="214">
      <formula>IF(LEFT($A$7,2)="03",1,0)</formula>
    </cfRule>
    <cfRule type="expression" dxfId="2657" priority="215">
      <formula>IF(LEFT($A$7,2)="04",1,0)</formula>
    </cfRule>
    <cfRule type="expression" dxfId="2656" priority="216">
      <formula>IF(LEFT($A$7,2)="05",1,0)</formula>
    </cfRule>
    <cfRule type="expression" dxfId="2655" priority="212">
      <formula>IF(LEFT($A$7,2)="01",1,0)</formula>
    </cfRule>
  </conditionalFormatting>
  <conditionalFormatting sqref="D354:S354">
    <cfRule type="expression" dxfId="2654" priority="207">
      <formula>IF(LEFT($A$7,2)="01",1,0)</formula>
    </cfRule>
    <cfRule type="expression" dxfId="2653" priority="208">
      <formula>IF(LEFT($A$7,2)="02",1,0)</formula>
    </cfRule>
    <cfRule type="expression" dxfId="2652" priority="209">
      <formula>IF(LEFT($A$7,2)="03",1,0)</formula>
    </cfRule>
    <cfRule type="expression" dxfId="2651" priority="210">
      <formula>IF(LEFT($A$7,2)="04",1,0)</formula>
    </cfRule>
    <cfRule type="expression" dxfId="2650" priority="211">
      <formula>IF(LEFT($A$7,2)="05",1,0)</formula>
    </cfRule>
  </conditionalFormatting>
  <conditionalFormatting sqref="D404:S404">
    <cfRule type="expression" dxfId="2649" priority="203">
      <formula>IF(LEFT($A$7,2)="02",1,0)</formula>
    </cfRule>
    <cfRule type="expression" dxfId="2648" priority="204">
      <formula>IF(LEFT($A$7,2)="03",1,0)</formula>
    </cfRule>
    <cfRule type="expression" dxfId="2647" priority="205">
      <formula>IF(LEFT($A$7,2)="04",1,0)</formula>
    </cfRule>
    <cfRule type="expression" dxfId="2646" priority="206">
      <formula>IF(LEFT($A$7,2)="05",1,0)</formula>
    </cfRule>
    <cfRule type="expression" dxfId="2645" priority="202">
      <formula>IF(LEFT($A$7,2)="01",1,0)</formula>
    </cfRule>
  </conditionalFormatting>
  <conditionalFormatting sqref="D454:S454">
    <cfRule type="expression" dxfId="2644" priority="198">
      <formula>IF(LEFT($A$7,2)="02",1,0)</formula>
    </cfRule>
    <cfRule type="expression" dxfId="2643" priority="199">
      <formula>IF(LEFT($A$7,2)="03",1,0)</formula>
    </cfRule>
    <cfRule type="expression" dxfId="2642" priority="200">
      <formula>IF(LEFT($A$7,2)="04",1,0)</formula>
    </cfRule>
    <cfRule type="expression" dxfId="2641" priority="201">
      <formula>IF(LEFT($A$7,2)="05",1,0)</formula>
    </cfRule>
    <cfRule type="expression" dxfId="2640" priority="197">
      <formula>IF(LEFT($A$7,2)="01",1,0)</formula>
    </cfRule>
  </conditionalFormatting>
  <conditionalFormatting sqref="D504:S504">
    <cfRule type="expression" dxfId="2639" priority="194">
      <formula>IF(LEFT($A$7,2)="03",1,0)</formula>
    </cfRule>
    <cfRule type="expression" dxfId="2638" priority="193">
      <formula>IF(LEFT($A$7,2)="02",1,0)</formula>
    </cfRule>
    <cfRule type="expression" dxfId="2637" priority="196">
      <formula>IF(LEFT($A$7,2)="05",1,0)</formula>
    </cfRule>
    <cfRule type="expression" dxfId="2636" priority="195">
      <formula>IF(LEFT($A$7,2)="04",1,0)</formula>
    </cfRule>
    <cfRule type="expression" dxfId="2635" priority="192">
      <formula>IF(LEFT($A$7,2)="01",1,0)</formula>
    </cfRule>
  </conditionalFormatting>
  <conditionalFormatting sqref="D554:S554">
    <cfRule type="expression" dxfId="2634" priority="191">
      <formula>IF(LEFT($A$7,2)="05",1,0)</formula>
    </cfRule>
    <cfRule type="expression" dxfId="2633" priority="190">
      <formula>IF(LEFT($A$7,2)="04",1,0)</formula>
    </cfRule>
    <cfRule type="expression" dxfId="2632" priority="189">
      <formula>IF(LEFT($A$7,2)="03",1,0)</formula>
    </cfRule>
    <cfRule type="expression" dxfId="2631" priority="188">
      <formula>IF(LEFT($A$7,2)="02",1,0)</formula>
    </cfRule>
    <cfRule type="expression" dxfId="2630" priority="187">
      <formula>IF(LEFT($A$7,2)="01",1,0)</formula>
    </cfRule>
  </conditionalFormatting>
  <conditionalFormatting sqref="D604:S604">
    <cfRule type="expression" dxfId="2629" priority="183">
      <formula>IF(LEFT($A$7,2)="02",1,0)</formula>
    </cfRule>
    <cfRule type="expression" dxfId="2628" priority="185">
      <formula>IF(LEFT($A$7,2)="04",1,0)</formula>
    </cfRule>
    <cfRule type="expression" dxfId="2627" priority="186">
      <formula>IF(LEFT($A$7,2)="05",1,0)</formula>
    </cfRule>
    <cfRule type="expression" dxfId="2626" priority="184">
      <formula>IF(LEFT($A$7,2)="03",1,0)</formula>
    </cfRule>
    <cfRule type="expression" dxfId="2625" priority="182">
      <formula>IF(LEFT($A$7,2)="01",1,0)</formula>
    </cfRule>
  </conditionalFormatting>
  <conditionalFormatting sqref="D654:S654">
    <cfRule type="expression" dxfId="2624" priority="181">
      <formula>IF(LEFT($A$7,2)="05",1,0)</formula>
    </cfRule>
    <cfRule type="expression" dxfId="2623" priority="177">
      <formula>IF(LEFT($A$7,2)="01",1,0)</formula>
    </cfRule>
    <cfRule type="expression" dxfId="2622" priority="178">
      <formula>IF(LEFT($A$7,2)="02",1,0)</formula>
    </cfRule>
    <cfRule type="expression" dxfId="2621" priority="179">
      <formula>IF(LEFT($A$7,2)="03",1,0)</formula>
    </cfRule>
    <cfRule type="expression" dxfId="2620" priority="180">
      <formula>IF(LEFT($A$7,2)="04",1,0)</formula>
    </cfRule>
  </conditionalFormatting>
  <conditionalFormatting sqref="D704:S704">
    <cfRule type="expression" dxfId="2619" priority="175">
      <formula>IF(LEFT($A$7,2)="04",1,0)</formula>
    </cfRule>
    <cfRule type="expression" dxfId="2618" priority="172">
      <formula>IF(LEFT($A$7,2)="01",1,0)</formula>
    </cfRule>
    <cfRule type="expression" dxfId="2617" priority="173">
      <formula>IF(LEFT($A$7,2)="02",1,0)</formula>
    </cfRule>
    <cfRule type="expression" dxfId="2616" priority="174">
      <formula>IF(LEFT($A$7,2)="03",1,0)</formula>
    </cfRule>
    <cfRule type="expression" dxfId="2615" priority="176">
      <formula>IF(LEFT($A$7,2)="05",1,0)</formula>
    </cfRule>
  </conditionalFormatting>
  <conditionalFormatting sqref="D754:S754">
    <cfRule type="expression" dxfId="2614" priority="168">
      <formula>IF(LEFT($A$7,2)="02",1,0)</formula>
    </cfRule>
    <cfRule type="expression" dxfId="2613" priority="169">
      <formula>IF(LEFT($A$7,2)="03",1,0)</formula>
    </cfRule>
    <cfRule type="expression" dxfId="2612" priority="170">
      <formula>IF(LEFT($A$7,2)="04",1,0)</formula>
    </cfRule>
    <cfRule type="expression" dxfId="2611" priority="171">
      <formula>IF(LEFT($A$7,2)="05",1,0)</formula>
    </cfRule>
    <cfRule type="expression" dxfId="2610" priority="167">
      <formula>IF(LEFT($A$7,2)="01",1,0)</formula>
    </cfRule>
  </conditionalFormatting>
  <conditionalFormatting sqref="G8">
    <cfRule type="cellIs" dxfId="2609" priority="440" operator="equal">
      <formula>1</formula>
    </cfRule>
    <cfRule type="cellIs" dxfId="2608" priority="439" operator="equal">
      <formula>"x"</formula>
    </cfRule>
    <cfRule type="cellIs" dxfId="2607" priority="435" operator="equal">
      <formula>5</formula>
    </cfRule>
    <cfRule type="cellIs" dxfId="2606" priority="436" operator="equal">
      <formula>6</formula>
    </cfRule>
    <cfRule type="cellIs" dxfId="2605" priority="437" operator="equal">
      <formula>7</formula>
    </cfRule>
    <cfRule type="cellIs" dxfId="2604" priority="443" operator="equal">
      <formula>4</formula>
    </cfRule>
    <cfRule type="cellIs" dxfId="2603" priority="444" operator="equal">
      <formula>5</formula>
    </cfRule>
    <cfRule type="cellIs" dxfId="2602" priority="441" operator="equal">
      <formula>2</formula>
    </cfRule>
    <cfRule type="cellIs" dxfId="2601" priority="445" operator="equal">
      <formula>6</formula>
    </cfRule>
    <cfRule type="cellIs" dxfId="2600" priority="442" operator="equal">
      <formula>3</formula>
    </cfRule>
    <cfRule type="cellIs" dxfId="2599" priority="432" operator="equal">
      <formula>2</formula>
    </cfRule>
    <cfRule type="cellIs" dxfId="2598" priority="433" operator="equal">
      <formula>3</formula>
    </cfRule>
    <cfRule type="cellIs" dxfId="2597" priority="434" operator="equal">
      <formula>4</formula>
    </cfRule>
  </conditionalFormatting>
  <conditionalFormatting sqref="G10">
    <cfRule type="cellIs" dxfId="2596" priority="156" operator="equal">
      <formula>5</formula>
    </cfRule>
    <cfRule type="cellIs" dxfId="2595" priority="153" operator="equal">
      <formula>2</formula>
    </cfRule>
    <cfRule type="cellIs" dxfId="2594" priority="165" operator="equal">
      <formula>5</formula>
    </cfRule>
    <cfRule type="cellIs" dxfId="2593" priority="163" operator="equal">
      <formula>3</formula>
    </cfRule>
    <cfRule type="cellIs" dxfId="2592" priority="166" operator="equal">
      <formula>6</formula>
    </cfRule>
    <cfRule type="cellIs" dxfId="2591" priority="154" operator="equal">
      <formula>3</formula>
    </cfRule>
    <cfRule type="cellIs" dxfId="2590" priority="155" operator="equal">
      <formula>4</formula>
    </cfRule>
    <cfRule type="cellIs" dxfId="2589" priority="158" operator="equal">
      <formula>7</formula>
    </cfRule>
    <cfRule type="cellIs" dxfId="2588" priority="157" operator="equal">
      <formula>6</formula>
    </cfRule>
    <cfRule type="cellIs" dxfId="2587" priority="160" operator="equal">
      <formula>"x"</formula>
    </cfRule>
    <cfRule type="cellIs" dxfId="2586" priority="161" operator="equal">
      <formula>1</formula>
    </cfRule>
    <cfRule type="cellIs" dxfId="2585" priority="162" operator="equal">
      <formula>2</formula>
    </cfRule>
    <cfRule type="cellIs" dxfId="2584" priority="164" operator="equal">
      <formula>4</formula>
    </cfRule>
  </conditionalFormatting>
  <conditionalFormatting sqref="G12">
    <cfRule type="cellIs" dxfId="2583" priority="100" operator="equal">
      <formula>5</formula>
    </cfRule>
    <cfRule type="cellIs" dxfId="2582" priority="101" operator="equal">
      <formula>6</formula>
    </cfRule>
    <cfRule type="cellIs" dxfId="2581" priority="102" operator="equal">
      <formula>7</formula>
    </cfRule>
    <cfRule type="cellIs" dxfId="2580" priority="104" operator="equal">
      <formula>"x"</formula>
    </cfRule>
    <cfRule type="cellIs" dxfId="2579" priority="106" operator="equal">
      <formula>2</formula>
    </cfRule>
    <cfRule type="cellIs" dxfId="2578" priority="107" operator="equal">
      <formula>3</formula>
    </cfRule>
    <cfRule type="cellIs" dxfId="2577" priority="108" operator="equal">
      <formula>4</formula>
    </cfRule>
    <cfRule type="cellIs" dxfId="2576" priority="109" operator="equal">
      <formula>5</formula>
    </cfRule>
    <cfRule type="cellIs" dxfId="2575" priority="110" operator="equal">
      <formula>6</formula>
    </cfRule>
    <cfRule type="cellIs" dxfId="2574" priority="105" operator="equal">
      <formula>1</formula>
    </cfRule>
    <cfRule type="cellIs" dxfId="2573" priority="98" operator="equal">
      <formula>3</formula>
    </cfRule>
    <cfRule type="cellIs" dxfId="2572" priority="97" operator="equal">
      <formula>2</formula>
    </cfRule>
    <cfRule type="cellIs" dxfId="2571" priority="99" operator="equal">
      <formula>4</formula>
    </cfRule>
  </conditionalFormatting>
  <conditionalFormatting sqref="G14">
    <cfRule type="cellIs" dxfId="2570" priority="142" operator="equal">
      <formula>5</formula>
    </cfRule>
    <cfRule type="cellIs" dxfId="2569" priority="141" operator="equal">
      <formula>4</formula>
    </cfRule>
    <cfRule type="cellIs" dxfId="2568" priority="143" operator="equal">
      <formula>6</formula>
    </cfRule>
    <cfRule type="cellIs" dxfId="2567" priority="139" operator="equal">
      <formula>2</formula>
    </cfRule>
    <cfRule type="cellIs" dxfId="2566" priority="146" operator="equal">
      <formula>"x"</formula>
    </cfRule>
    <cfRule type="cellIs" dxfId="2565" priority="140" operator="equal">
      <formula>3</formula>
    </cfRule>
    <cfRule type="cellIs" dxfId="2564" priority="147" operator="equal">
      <formula>1</formula>
    </cfRule>
    <cfRule type="cellIs" dxfId="2563" priority="148" operator="equal">
      <formula>2</formula>
    </cfRule>
    <cfRule type="cellIs" dxfId="2562" priority="149" operator="equal">
      <formula>3</formula>
    </cfRule>
    <cfRule type="cellIs" dxfId="2561" priority="150" operator="equal">
      <formula>4</formula>
    </cfRule>
    <cfRule type="cellIs" dxfId="2560" priority="151" operator="equal">
      <formula>5</formula>
    </cfRule>
    <cfRule type="cellIs" dxfId="2559" priority="152" operator="equal">
      <formula>6</formula>
    </cfRule>
    <cfRule type="cellIs" dxfId="2558" priority="144" operator="equal">
      <formula>7</formula>
    </cfRule>
  </conditionalFormatting>
  <conditionalFormatting sqref="G16">
    <cfRule type="cellIs" dxfId="2557" priority="127" operator="equal">
      <formula>4</formula>
    </cfRule>
    <cfRule type="cellIs" dxfId="2556" priority="130" operator="equal">
      <formula>7</formula>
    </cfRule>
    <cfRule type="cellIs" dxfId="2555" priority="132" operator="equal">
      <formula>"x"</formula>
    </cfRule>
    <cfRule type="cellIs" dxfId="2554" priority="129" operator="equal">
      <formula>6</formula>
    </cfRule>
    <cfRule type="cellIs" dxfId="2553" priority="133" operator="equal">
      <formula>1</formula>
    </cfRule>
    <cfRule type="cellIs" dxfId="2552" priority="134" operator="equal">
      <formula>2</formula>
    </cfRule>
    <cfRule type="cellIs" dxfId="2551" priority="135" operator="equal">
      <formula>3</formula>
    </cfRule>
    <cfRule type="cellIs" dxfId="2550" priority="136" operator="equal">
      <formula>4</formula>
    </cfRule>
    <cfRule type="cellIs" dxfId="2549" priority="137" operator="equal">
      <formula>5</formula>
    </cfRule>
    <cfRule type="cellIs" dxfId="2548" priority="138" operator="equal">
      <formula>6</formula>
    </cfRule>
    <cfRule type="cellIs" dxfId="2547" priority="125" operator="equal">
      <formula>2</formula>
    </cfRule>
    <cfRule type="cellIs" dxfId="2546" priority="126" operator="equal">
      <formula>3</formula>
    </cfRule>
    <cfRule type="cellIs" dxfId="2545" priority="128" operator="equal">
      <formula>5</formula>
    </cfRule>
  </conditionalFormatting>
  <conditionalFormatting sqref="G18">
    <cfRule type="cellIs" dxfId="2544" priority="95" operator="equal">
      <formula>5</formula>
    </cfRule>
    <cfRule type="cellIs" dxfId="2543" priority="94" operator="equal">
      <formula>4</formula>
    </cfRule>
    <cfRule type="cellIs" dxfId="2542" priority="93" operator="equal">
      <formula>3</formula>
    </cfRule>
    <cfRule type="cellIs" dxfId="2541" priority="91" operator="equal">
      <formula>1</formula>
    </cfRule>
    <cfRule type="cellIs" dxfId="2540" priority="90" operator="equal">
      <formula>"x"</formula>
    </cfRule>
    <cfRule type="cellIs" dxfId="2539" priority="88" operator="equal">
      <formula>7</formula>
    </cfRule>
    <cfRule type="cellIs" dxfId="2538" priority="87" operator="equal">
      <formula>6</formula>
    </cfRule>
    <cfRule type="cellIs" dxfId="2537" priority="86" operator="equal">
      <formula>5</formula>
    </cfRule>
    <cfRule type="cellIs" dxfId="2536" priority="85" operator="equal">
      <formula>4</formula>
    </cfRule>
    <cfRule type="cellIs" dxfId="2535" priority="84" operator="equal">
      <formula>3</formula>
    </cfRule>
    <cfRule type="cellIs" dxfId="2534" priority="83" operator="equal">
      <formula>2</formula>
    </cfRule>
    <cfRule type="cellIs" dxfId="2533" priority="92" operator="equal">
      <formula>2</formula>
    </cfRule>
    <cfRule type="cellIs" dxfId="2532" priority="96" operator="equal">
      <formula>6</formula>
    </cfRule>
  </conditionalFormatting>
  <conditionalFormatting sqref="G20">
    <cfRule type="cellIs" dxfId="2531" priority="23" operator="equal">
      <formula>1</formula>
    </cfRule>
    <cfRule type="cellIs" dxfId="2530" priority="28" operator="equal">
      <formula>6</formula>
    </cfRule>
    <cfRule type="cellIs" dxfId="2529" priority="27" operator="equal">
      <formula>5</formula>
    </cfRule>
    <cfRule type="cellIs" dxfId="2528" priority="26" operator="equal">
      <formula>4</formula>
    </cfRule>
    <cfRule type="cellIs" dxfId="2527" priority="25" operator="equal">
      <formula>3</formula>
    </cfRule>
    <cfRule type="cellIs" dxfId="2526" priority="24" operator="equal">
      <formula>2</formula>
    </cfRule>
    <cfRule type="cellIs" dxfId="2525" priority="22" operator="equal">
      <formula>"x"</formula>
    </cfRule>
    <cfRule type="cellIs" dxfId="2524" priority="20" operator="equal">
      <formula>7</formula>
    </cfRule>
    <cfRule type="cellIs" dxfId="2523" priority="19" operator="equal">
      <formula>6</formula>
    </cfRule>
    <cfRule type="cellIs" dxfId="2522" priority="18" operator="equal">
      <formula>5</formula>
    </cfRule>
    <cfRule type="cellIs" dxfId="2521" priority="17" operator="equal">
      <formula>4</formula>
    </cfRule>
    <cfRule type="cellIs" dxfId="2520" priority="16" operator="equal">
      <formula>3</formula>
    </cfRule>
    <cfRule type="cellIs" dxfId="2519" priority="15" operator="equal">
      <formula>2</formula>
    </cfRule>
  </conditionalFormatting>
  <conditionalFormatting sqref="G22 G30 G32 G34 G36">
    <cfRule type="cellIs" dxfId="2518" priority="487" operator="equal">
      <formula>6</formula>
    </cfRule>
    <cfRule type="cellIs" dxfId="2517" priority="474" operator="equal">
      <formula>2</formula>
    </cfRule>
    <cfRule type="cellIs" dxfId="2516" priority="475" operator="equal">
      <formula>3</formula>
    </cfRule>
    <cfRule type="cellIs" dxfId="2515" priority="476" operator="equal">
      <formula>4</formula>
    </cfRule>
    <cfRule type="cellIs" dxfId="2514" priority="477" operator="equal">
      <formula>5</formula>
    </cfRule>
    <cfRule type="cellIs" dxfId="2513" priority="478" operator="equal">
      <formula>6</formula>
    </cfRule>
    <cfRule type="cellIs" dxfId="2512" priority="479" operator="equal">
      <formula>7</formula>
    </cfRule>
    <cfRule type="cellIs" dxfId="2511" priority="481" operator="equal">
      <formula>"x"</formula>
    </cfRule>
    <cfRule type="cellIs" dxfId="2510" priority="483" operator="equal">
      <formula>2</formula>
    </cfRule>
    <cfRule type="cellIs" dxfId="2509" priority="484" operator="equal">
      <formula>3</formula>
    </cfRule>
    <cfRule type="cellIs" dxfId="2508" priority="485" operator="equal">
      <formula>4</formula>
    </cfRule>
    <cfRule type="cellIs" dxfId="2507" priority="486" operator="equal">
      <formula>5</formula>
    </cfRule>
  </conditionalFormatting>
  <conditionalFormatting sqref="G24 G26 G28">
    <cfRule type="cellIs" dxfId="2506" priority="6" operator="equal">
      <formula>7</formula>
    </cfRule>
    <cfRule type="cellIs" dxfId="2505" priority="13" operator="equal">
      <formula>5</formula>
    </cfRule>
    <cfRule type="cellIs" dxfId="2504" priority="8" operator="equal">
      <formula>"x"</formula>
    </cfRule>
    <cfRule type="cellIs" dxfId="2503" priority="9" operator="equal">
      <formula>1</formula>
    </cfRule>
    <cfRule type="cellIs" dxfId="2502" priority="10" operator="equal">
      <formula>2</formula>
    </cfRule>
    <cfRule type="cellIs" dxfId="2501" priority="11" operator="equal">
      <formula>3</formula>
    </cfRule>
    <cfRule type="cellIs" dxfId="2500" priority="14" operator="equal">
      <formula>6</formula>
    </cfRule>
    <cfRule type="cellIs" dxfId="2499" priority="4" operator="equal">
      <formula>5</formula>
    </cfRule>
    <cfRule type="cellIs" dxfId="2498" priority="5" operator="equal">
      <formula>6</formula>
    </cfRule>
    <cfRule type="cellIs" dxfId="2497" priority="3" operator="equal">
      <formula>4</formula>
    </cfRule>
    <cfRule type="cellIs" dxfId="2496" priority="2" operator="equal">
      <formula>3</formula>
    </cfRule>
    <cfRule type="cellIs" dxfId="2495" priority="1" operator="equal">
      <formula>2</formula>
    </cfRule>
    <cfRule type="cellIs" dxfId="2494" priority="12" operator="equal">
      <formula>4</formula>
    </cfRule>
  </conditionalFormatting>
  <conditionalFormatting sqref="G30 G32 G34 G36 G22">
    <cfRule type="cellIs" dxfId="2493" priority="482" operator="equal">
      <formula>1</formula>
    </cfRule>
  </conditionalFormatting>
  <conditionalFormatting sqref="G38">
    <cfRule type="cellIs" dxfId="2492" priority="467" operator="equal">
      <formula>"x"</formula>
    </cfRule>
    <cfRule type="cellIs" dxfId="2491" priority="464" operator="equal">
      <formula>6</formula>
    </cfRule>
    <cfRule type="cellIs" dxfId="2490" priority="469" operator="equal">
      <formula>2</formula>
    </cfRule>
    <cfRule type="cellIs" dxfId="2489" priority="470" operator="equal">
      <formula>3</formula>
    </cfRule>
    <cfRule type="cellIs" dxfId="2488" priority="471" operator="equal">
      <formula>4</formula>
    </cfRule>
    <cfRule type="cellIs" dxfId="2487" priority="472" operator="equal">
      <formula>5</formula>
    </cfRule>
    <cfRule type="cellIs" dxfId="2486" priority="473" operator="equal">
      <formula>6</formula>
    </cfRule>
    <cfRule type="cellIs" dxfId="2485" priority="468" operator="equal">
      <formula>1</formula>
    </cfRule>
    <cfRule type="cellIs" dxfId="2484" priority="465" operator="equal">
      <formula>7</formula>
    </cfRule>
    <cfRule type="cellIs" dxfId="2483" priority="463" operator="equal">
      <formula>5</formula>
    </cfRule>
    <cfRule type="cellIs" dxfId="2482" priority="462" operator="equal">
      <formula>4</formula>
    </cfRule>
    <cfRule type="cellIs" dxfId="2481" priority="461" operator="equal">
      <formula>3</formula>
    </cfRule>
    <cfRule type="cellIs" dxfId="2480" priority="460" operator="equal">
      <formula>2</formula>
    </cfRule>
  </conditionalFormatting>
  <conditionalFormatting sqref="G8:H8 G10:H10 G12:H12 G14:H14 G16:H16 G18:H18 G22:H22">
    <cfRule type="cellIs" dxfId="2479" priority="72" operator="equal">
      <formula>1</formula>
    </cfRule>
  </conditionalFormatting>
  <conditionalFormatting sqref="G20:H20">
    <cfRule type="cellIs" dxfId="2478" priority="21" operator="equal">
      <formula>1</formula>
    </cfRule>
  </conditionalFormatting>
  <conditionalFormatting sqref="G24:H24 G26:H26 G28:H28">
    <cfRule type="cellIs" dxfId="2477" priority="7" operator="equal">
      <formula>1</formula>
    </cfRule>
  </conditionalFormatting>
  <conditionalFormatting sqref="G30:H30 G32:H32 G34:H34 G36:H36 G38:H38">
    <cfRule type="cellIs" dxfId="2476" priority="403" operator="equal">
      <formula>1</formula>
    </cfRule>
  </conditionalFormatting>
  <conditionalFormatting sqref="H8 H10 H12 H14 H16 H18 H20 H22">
    <cfRule type="cellIs" dxfId="2475" priority="74" operator="equal">
      <formula>3</formula>
    </cfRule>
    <cfRule type="cellIs" dxfId="2474" priority="76" operator="equal">
      <formula>5</formula>
    </cfRule>
    <cfRule type="cellIs" dxfId="2473" priority="71" operator="equal">
      <formula>0</formula>
    </cfRule>
    <cfRule type="cellIs" dxfId="2472" priority="73" operator="equal">
      <formula>2</formula>
    </cfRule>
    <cfRule type="cellIs" dxfId="2471" priority="75" operator="equal">
      <formula>4</formula>
    </cfRule>
  </conditionalFormatting>
  <conditionalFormatting sqref="H24 H26 H28 H30 H32 H34 H36 H38">
    <cfRule type="cellIs" dxfId="2470" priority="406" operator="equal">
      <formula>4</formula>
    </cfRule>
    <cfRule type="cellIs" dxfId="2469" priority="405" operator="equal">
      <formula>3</formula>
    </cfRule>
    <cfRule type="cellIs" dxfId="2468" priority="402" operator="equal">
      <formula>0</formula>
    </cfRule>
    <cfRule type="cellIs" dxfId="2467" priority="404" operator="equal">
      <formula>2</formula>
    </cfRule>
    <cfRule type="cellIs" dxfId="2466" priority="407" operator="equal">
      <formula>5</formula>
    </cfRule>
  </conditionalFormatting>
  <conditionalFormatting sqref="H60:S75">
    <cfRule type="cellIs" dxfId="2465" priority="329" operator="equal">
      <formula>3</formula>
    </cfRule>
    <cfRule type="cellIs" dxfId="2464" priority="328" operator="equal">
      <formula>2</formula>
    </cfRule>
    <cfRule type="cellIs" dxfId="2463" priority="330" operator="equal">
      <formula>4</formula>
    </cfRule>
    <cfRule type="cellIs" dxfId="2462" priority="327" operator="equal">
      <formula>1</formula>
    </cfRule>
    <cfRule type="cellIs" dxfId="2461" priority="321" operator="equal">
      <formula>0</formula>
    </cfRule>
    <cfRule type="cellIs" dxfId="2460" priority="331" operator="equal">
      <formula>5</formula>
    </cfRule>
  </conditionalFormatting>
  <conditionalFormatting sqref="H110:S125">
    <cfRule type="cellIs" dxfId="2459" priority="60" operator="equal">
      <formula>1</formula>
    </cfRule>
    <cfRule type="cellIs" dxfId="2458" priority="59" operator="equal">
      <formula>0</formula>
    </cfRule>
    <cfRule type="cellIs" dxfId="2457" priority="62" operator="equal">
      <formula>3</formula>
    </cfRule>
    <cfRule type="cellIs" dxfId="2456" priority="63" operator="equal">
      <formula>4</formula>
    </cfRule>
    <cfRule type="cellIs" dxfId="2455" priority="64" operator="equal">
      <formula>5</formula>
    </cfRule>
    <cfRule type="cellIs" dxfId="2454" priority="61" operator="equal">
      <formula>2</formula>
    </cfRule>
  </conditionalFormatting>
  <conditionalFormatting sqref="H160:S175">
    <cfRule type="cellIs" dxfId="2453" priority="313" operator="equal">
      <formula>4</formula>
    </cfRule>
    <cfRule type="cellIs" dxfId="2452" priority="314" operator="equal">
      <formula>5</formula>
    </cfRule>
    <cfRule type="cellIs" dxfId="2451" priority="310" operator="equal">
      <formula>1</formula>
    </cfRule>
    <cfRule type="cellIs" dxfId="2450" priority="309" operator="equal">
      <formula>0</formula>
    </cfRule>
    <cfRule type="cellIs" dxfId="2449" priority="311" operator="equal">
      <formula>2</formula>
    </cfRule>
    <cfRule type="cellIs" dxfId="2448" priority="312" operator="equal">
      <formula>3</formula>
    </cfRule>
  </conditionalFormatting>
  <conditionalFormatting sqref="H210:S225">
    <cfRule type="cellIs" dxfId="2447" priority="57" operator="equal">
      <formula>4</formula>
    </cfRule>
    <cfRule type="cellIs" dxfId="2446" priority="55" operator="equal">
      <formula>2</formula>
    </cfRule>
    <cfRule type="cellIs" dxfId="2445" priority="54" operator="equal">
      <formula>1</formula>
    </cfRule>
    <cfRule type="cellIs" dxfId="2444" priority="53" operator="equal">
      <formula>0</formula>
    </cfRule>
    <cfRule type="cellIs" dxfId="2443" priority="56" operator="equal">
      <formula>3</formula>
    </cfRule>
    <cfRule type="cellIs" dxfId="2442" priority="58" operator="equal">
      <formula>5</formula>
    </cfRule>
  </conditionalFormatting>
  <conditionalFormatting sqref="H260:S275">
    <cfRule type="cellIs" dxfId="2441" priority="46" operator="equal">
      <formula>5</formula>
    </cfRule>
    <cfRule type="cellIs" dxfId="2440" priority="45" operator="equal">
      <formula>4</formula>
    </cfRule>
    <cfRule type="cellIs" dxfId="2439" priority="44" operator="equal">
      <formula>3</formula>
    </cfRule>
    <cfRule type="cellIs" dxfId="2438" priority="43" operator="equal">
      <formula>2</formula>
    </cfRule>
    <cfRule type="cellIs" dxfId="2437" priority="41" operator="equal">
      <formula>0</formula>
    </cfRule>
    <cfRule type="cellIs" dxfId="2436" priority="42" operator="equal">
      <formula>1</formula>
    </cfRule>
  </conditionalFormatting>
  <conditionalFormatting sqref="H310:S325">
    <cfRule type="cellIs" dxfId="2435" priority="30" operator="equal">
      <formula>1</formula>
    </cfRule>
    <cfRule type="cellIs" dxfId="2434" priority="31" operator="equal">
      <formula>2</formula>
    </cfRule>
    <cfRule type="cellIs" dxfId="2433" priority="33" operator="equal">
      <formula>4</formula>
    </cfRule>
    <cfRule type="cellIs" dxfId="2432" priority="32" operator="equal">
      <formula>3</formula>
    </cfRule>
    <cfRule type="cellIs" dxfId="2431" priority="34" operator="equal">
      <formula>5</formula>
    </cfRule>
    <cfRule type="cellIs" dxfId="2430" priority="29" operator="equal">
      <formula>0</formula>
    </cfRule>
  </conditionalFormatting>
  <conditionalFormatting sqref="H360:S375">
    <cfRule type="cellIs" dxfId="2429" priority="285" operator="equal">
      <formula>0</formula>
    </cfRule>
    <cfRule type="cellIs" dxfId="2428" priority="288" operator="equal">
      <formula>3</formula>
    </cfRule>
    <cfRule type="cellIs" dxfId="2427" priority="287" operator="equal">
      <formula>2</formula>
    </cfRule>
    <cfRule type="cellIs" dxfId="2426" priority="289" operator="equal">
      <formula>4</formula>
    </cfRule>
    <cfRule type="cellIs" dxfId="2425" priority="290" operator="equal">
      <formula>5</formula>
    </cfRule>
    <cfRule type="cellIs" dxfId="2424" priority="286" operator="equal">
      <formula>1</formula>
    </cfRule>
  </conditionalFormatting>
  <conditionalFormatting sqref="H410:S425">
    <cfRule type="cellIs" dxfId="2423" priority="281" operator="equal">
      <formula>2</formula>
    </cfRule>
    <cfRule type="cellIs" dxfId="2422" priority="284" operator="equal">
      <formula>5</formula>
    </cfRule>
    <cfRule type="cellIs" dxfId="2421" priority="283" operator="equal">
      <formula>4</formula>
    </cfRule>
    <cfRule type="cellIs" dxfId="2420" priority="280" operator="equal">
      <formula>1</formula>
    </cfRule>
    <cfRule type="cellIs" dxfId="2419" priority="279" operator="equal">
      <formula>0</formula>
    </cfRule>
    <cfRule type="cellIs" dxfId="2418" priority="282" operator="equal">
      <formula>3</formula>
    </cfRule>
  </conditionalFormatting>
  <conditionalFormatting sqref="H460:S475">
    <cfRule type="cellIs" dxfId="2417" priority="273" operator="equal">
      <formula>0</formula>
    </cfRule>
    <cfRule type="cellIs" dxfId="2416" priority="274" operator="equal">
      <formula>1</formula>
    </cfRule>
    <cfRule type="cellIs" dxfId="2415" priority="275" operator="equal">
      <formula>2</formula>
    </cfRule>
    <cfRule type="cellIs" dxfId="2414" priority="276" operator="equal">
      <formula>3</formula>
    </cfRule>
    <cfRule type="cellIs" dxfId="2413" priority="278" operator="equal">
      <formula>5</formula>
    </cfRule>
    <cfRule type="cellIs" dxfId="2412" priority="277" operator="equal">
      <formula>4</formula>
    </cfRule>
  </conditionalFormatting>
  <conditionalFormatting sqref="H510:S525">
    <cfRule type="cellIs" dxfId="2411" priority="270" operator="equal">
      <formula>3</formula>
    </cfRule>
    <cfRule type="cellIs" dxfId="2410" priority="268" operator="equal">
      <formula>1</formula>
    </cfRule>
    <cfRule type="cellIs" dxfId="2409" priority="269" operator="equal">
      <formula>2</formula>
    </cfRule>
    <cfRule type="cellIs" dxfId="2408" priority="267" operator="equal">
      <formula>0</formula>
    </cfRule>
    <cfRule type="cellIs" dxfId="2407" priority="272" operator="equal">
      <formula>5</formula>
    </cfRule>
    <cfRule type="cellIs" dxfId="2406" priority="271" operator="equal">
      <formula>4</formula>
    </cfRule>
  </conditionalFormatting>
  <conditionalFormatting sqref="H560:S575">
    <cfRule type="cellIs" dxfId="2405" priority="262" operator="equal">
      <formula>1</formula>
    </cfRule>
    <cfRule type="cellIs" dxfId="2404" priority="261" operator="equal">
      <formula>0</formula>
    </cfRule>
    <cfRule type="cellIs" dxfId="2403" priority="264" operator="equal">
      <formula>3</formula>
    </cfRule>
    <cfRule type="cellIs" dxfId="2402" priority="266" operator="equal">
      <formula>5</formula>
    </cfRule>
    <cfRule type="cellIs" dxfId="2401" priority="265" operator="equal">
      <formula>4</formula>
    </cfRule>
    <cfRule type="cellIs" dxfId="2400" priority="263" operator="equal">
      <formula>2</formula>
    </cfRule>
  </conditionalFormatting>
  <conditionalFormatting sqref="H610:S625">
    <cfRule type="cellIs" dxfId="2399" priority="256" operator="equal">
      <formula>1</formula>
    </cfRule>
    <cfRule type="cellIs" dxfId="2398" priority="257" operator="equal">
      <formula>2</formula>
    </cfRule>
    <cfRule type="cellIs" dxfId="2397" priority="259" operator="equal">
      <formula>4</formula>
    </cfRule>
    <cfRule type="cellIs" dxfId="2396" priority="260" operator="equal">
      <formula>5</formula>
    </cfRule>
    <cfRule type="cellIs" dxfId="2395" priority="258" operator="equal">
      <formula>3</formula>
    </cfRule>
    <cfRule type="cellIs" dxfId="2394" priority="255" operator="equal">
      <formula>0</formula>
    </cfRule>
  </conditionalFormatting>
  <conditionalFormatting sqref="H660:S675">
    <cfRule type="cellIs" dxfId="2393" priority="249" operator="equal">
      <formula>0</formula>
    </cfRule>
    <cfRule type="cellIs" dxfId="2392" priority="251" operator="equal">
      <formula>2</formula>
    </cfRule>
    <cfRule type="cellIs" dxfId="2391" priority="252" operator="equal">
      <formula>3</formula>
    </cfRule>
    <cfRule type="cellIs" dxfId="2390" priority="253" operator="equal">
      <formula>4</formula>
    </cfRule>
    <cfRule type="cellIs" dxfId="2389" priority="250" operator="equal">
      <formula>1</formula>
    </cfRule>
    <cfRule type="cellIs" dxfId="2388" priority="254" operator="equal">
      <formula>5</formula>
    </cfRule>
  </conditionalFormatting>
  <conditionalFormatting sqref="H710:S725">
    <cfRule type="cellIs" dxfId="2387" priority="243" operator="equal">
      <formula>0</formula>
    </cfRule>
    <cfRule type="cellIs" dxfId="2386" priority="245" operator="equal">
      <formula>2</formula>
    </cfRule>
    <cfRule type="cellIs" dxfId="2385" priority="244" operator="equal">
      <formula>1</formula>
    </cfRule>
    <cfRule type="cellIs" dxfId="2384" priority="247" operator="equal">
      <formula>4</formula>
    </cfRule>
    <cfRule type="cellIs" dxfId="2383" priority="248" operator="equal">
      <formula>5</formula>
    </cfRule>
    <cfRule type="cellIs" dxfId="2382" priority="246" operator="equal">
      <formula>3</formula>
    </cfRule>
  </conditionalFormatting>
  <conditionalFormatting sqref="H760:S775">
    <cfRule type="cellIs" dxfId="2381" priority="238" operator="equal">
      <formula>1</formula>
    </cfRule>
    <cfRule type="cellIs" dxfId="2380" priority="239" operator="equal">
      <formula>2</formula>
    </cfRule>
    <cfRule type="cellIs" dxfId="2379" priority="240" operator="equal">
      <formula>3</formula>
    </cfRule>
    <cfRule type="cellIs" dxfId="2378" priority="241" operator="equal">
      <formula>4</formula>
    </cfRule>
    <cfRule type="cellIs" dxfId="2377" priority="242" operator="equal">
      <formula>5</formula>
    </cfRule>
    <cfRule type="cellIs" dxfId="2376" priority="237" operator="equal">
      <formula>0</formula>
    </cfRule>
  </conditionalFormatting>
  <conditionalFormatting sqref="J8">
    <cfRule type="cellIs" dxfId="2375" priority="422" operator="equal">
      <formula>6</formula>
    </cfRule>
    <cfRule type="cellIs" dxfId="2374" priority="421" operator="equal">
      <formula>5</formula>
    </cfRule>
    <cfRule type="cellIs" dxfId="2373" priority="420" operator="equal">
      <formula>4</formula>
    </cfRule>
    <cfRule type="cellIs" dxfId="2372" priority="419" operator="equal">
      <formula>3</formula>
    </cfRule>
    <cfRule type="cellIs" dxfId="2371" priority="418" operator="equal">
      <formula>2</formula>
    </cfRule>
    <cfRule type="cellIs" dxfId="2370" priority="431" operator="equal">
      <formula>6</formula>
    </cfRule>
    <cfRule type="cellIs" dxfId="2369" priority="430" operator="equal">
      <formula>5</formula>
    </cfRule>
    <cfRule type="cellIs" dxfId="2368" priority="429" operator="equal">
      <formula>4</formula>
    </cfRule>
    <cfRule type="cellIs" dxfId="2367" priority="428" operator="equal">
      <formula>3</formula>
    </cfRule>
    <cfRule type="cellIs" dxfId="2366" priority="427" operator="equal">
      <formula>2</formula>
    </cfRule>
    <cfRule type="cellIs" dxfId="2365" priority="423" operator="equal">
      <formula>7</formula>
    </cfRule>
    <cfRule type="cellIs" dxfId="2364" priority="426" operator="equal">
      <formula>1</formula>
    </cfRule>
    <cfRule type="cellIs" dxfId="2363" priority="425" operator="equal">
      <formula>"x"</formula>
    </cfRule>
    <cfRule type="cellIs" dxfId="2362" priority="424" operator="equal">
      <formula>1</formula>
    </cfRule>
  </conditionalFormatting>
  <conditionalFormatting sqref="J10 J12 J14 J16 J18 J20 J22 J24 J26 J28 J30 J32 J34 J36 J38">
    <cfRule type="cellIs" dxfId="2361" priority="458" operator="equal">
      <formula>5</formula>
    </cfRule>
    <cfRule type="cellIs" dxfId="2360" priority="451" operator="equal">
      <formula>7</formula>
    </cfRule>
    <cfRule type="cellIs" dxfId="2359" priority="457" operator="equal">
      <formula>4</formula>
    </cfRule>
    <cfRule type="cellIs" dxfId="2358" priority="454" operator="equal">
      <formula>1</formula>
    </cfRule>
    <cfRule type="cellIs" dxfId="2357" priority="456" operator="equal">
      <formula>3</formula>
    </cfRule>
    <cfRule type="cellIs" dxfId="2356" priority="450" operator="equal">
      <formula>6</formula>
    </cfRule>
    <cfRule type="cellIs" dxfId="2355" priority="449" operator="equal">
      <formula>5</formula>
    </cfRule>
    <cfRule type="cellIs" dxfId="2354" priority="455" operator="equal">
      <formula>2</formula>
    </cfRule>
    <cfRule type="cellIs" dxfId="2353" priority="448" operator="equal">
      <formula>4</formula>
    </cfRule>
    <cfRule type="cellIs" dxfId="2352" priority="446" operator="equal">
      <formula>2</formula>
    </cfRule>
    <cfRule type="cellIs" dxfId="2351" priority="453" operator="equal">
      <formula>"x"</formula>
    </cfRule>
    <cfRule type="cellIs" dxfId="2350" priority="452" operator="equal">
      <formula>1</formula>
    </cfRule>
    <cfRule type="cellIs" dxfId="2349" priority="459" operator="equal">
      <formula>6</formula>
    </cfRule>
    <cfRule type="cellIs" dxfId="2348" priority="447" operator="equal">
      <formula>3</formula>
    </cfRule>
  </conditionalFormatting>
  <dataValidations count="1">
    <dataValidation type="list" allowBlank="1" showInputMessage="1" showErrorMessage="1" sqref="H760:S775 H260:S275 H60:S75 H160:S175 H210:S225 H110:S125 H360:S375 H410:S425 H460:S475 H510:S525 H560:S575 H610:S625 H660:S675 H710:S725 H310:S325" xr:uid="{00000000-0002-0000-0A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1000000}">
          <x14:formula1>
            <xm:f>LEGENDA!$B$5:$B$10</xm:f>
          </x14:formula1>
          <xm:sqref>H8:I9</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6">
    <tabColor rgb="FF2FFF74"/>
    <pageSetUpPr fitToPage="1"/>
  </sheetPr>
  <dimension ref="A1:AO790"/>
  <sheetViews>
    <sheetView topLeftCell="B1" zoomScale="80" zoomScaleNormal="80" zoomScalePageLayoutView="80" workbookViewId="0">
      <pane ySplit="2" topLeftCell="A3" activePane="bottomLeft" state="frozen"/>
      <selection activeCell="B8" sqref="B8"/>
      <selection pane="bottomLeft" activeCell="B8" sqref="B8"/>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6</v>
      </c>
      <c r="M4" s="383"/>
      <c r="N4" s="383"/>
      <c r="O4" s="384"/>
      <c r="P4" s="382" t="s">
        <v>6</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0</v>
      </c>
      <c r="I8" s="360"/>
      <c r="J8" s="363" t="s">
        <v>6</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343" t="s">
        <v>19</v>
      </c>
      <c r="G10" s="344" t="s">
        <v>20</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16"/>
      <c r="B11" s="16"/>
      <c r="C11"/>
      <c r="D11" s="376"/>
      <c r="E11" s="326"/>
      <c r="F11" s="306"/>
      <c r="G11" s="308"/>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t="s">
        <v>23</v>
      </c>
      <c r="G12" s="307" t="s">
        <v>24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t="s">
        <v>27</v>
      </c>
      <c r="G14" s="307" t="s">
        <v>28</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t="s">
        <v>31</v>
      </c>
      <c r="G16" s="307" t="s">
        <v>32</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306"/>
      <c r="G17" s="308"/>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306" t="s">
        <v>33</v>
      </c>
      <c r="G18" s="307" t="s">
        <v>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306"/>
      <c r="G19" s="308"/>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306" t="s">
        <v>35</v>
      </c>
      <c r="G20" s="307" t="s">
        <v>36</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306"/>
      <c r="G21" s="308"/>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306" t="s">
        <v>38</v>
      </c>
      <c r="G22" s="307" t="s">
        <v>39</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306"/>
      <c r="G23" s="308"/>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306" t="s">
        <v>41</v>
      </c>
      <c r="G24" s="307" t="s">
        <v>42</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306"/>
      <c r="G25" s="308"/>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t="str">
        <f ca="1">OFFSET($G$7,2*(D53+1)-1,0)</f>
        <v>A</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t="str">
        <f ca="1">OFFSET($G$7,2*(D103+1)-1,0)</f>
        <v>B</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t="str">
        <f ca="1">OFFSET($G$7,2*(D153+1)-1,0)</f>
        <v>C</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t="str">
        <f ca="1">OFFSET($G$7,2*(D203+1)-1,0)</f>
        <v>D</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t="str">
        <f ca="1">OFFSET($G$7,2*(D253+1)-1,0)</f>
        <v>E</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t="str">
        <f ca="1">OFFSET($G$7,2*(D303+1)-1,0)</f>
        <v>F</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t="str">
        <f ca="1">OFFSET($G$7,2*(D353+1)-1,0)</f>
        <v>G</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t="str">
        <f ca="1">OFFSET($G$7,2*(D403+1)-1,0)</f>
        <v>H</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2347" priority="180" stopIfTrue="1">
      <formula>IF(LEFT($A$7,2)="04",1,0)</formula>
    </cfRule>
    <cfRule type="expression" dxfId="2346" priority="181">
      <formula>IF(LEFT($A$7,2)="05",1,0)</formula>
    </cfRule>
    <cfRule type="expression" dxfId="2345" priority="173" stopIfTrue="1">
      <formula>IF(LEFT($A$7,2)="01",1,0)</formula>
    </cfRule>
    <cfRule type="expression" dxfId="2344" priority="178" stopIfTrue="1">
      <formula>IF(LEFT($A$7,2)="02",1,0)</formula>
    </cfRule>
    <cfRule type="expression" dxfId="2343" priority="179" stopIfTrue="1">
      <formula>IF(LEFT($A$7,2)="03",1,0)</formula>
    </cfRule>
  </conditionalFormatting>
  <conditionalFormatting sqref="D4:S4">
    <cfRule type="expression" dxfId="2342" priority="172">
      <formula>IF(LEFT($A$7,2)="01",1,0)</formula>
    </cfRule>
    <cfRule type="expression" dxfId="2341" priority="174">
      <formula>IF(LEFT($A$7,2)="02",1,0)</formula>
    </cfRule>
    <cfRule type="expression" dxfId="2340" priority="175">
      <formula>IF(LEFT($A$7,2)="03",1,0)</formula>
    </cfRule>
    <cfRule type="expression" dxfId="2339" priority="176">
      <formula>IF(LEFT($A$7,2)="04",1,0)</formula>
    </cfRule>
    <cfRule type="expression" dxfId="2338" priority="177">
      <formula>IF(LEFT($A$7,2)="05",1,0)</formula>
    </cfRule>
  </conditionalFormatting>
  <conditionalFormatting sqref="D54:S54">
    <cfRule type="expression" dxfId="2337" priority="156">
      <formula>IF(LEFT($A$7,2)="01",1,0)</formula>
    </cfRule>
    <cfRule type="expression" dxfId="2336" priority="158">
      <formula>IF(LEFT($A$7,2)="03",1,0)</formula>
    </cfRule>
    <cfRule type="expression" dxfId="2335" priority="159">
      <formula>IF(LEFT($A$7,2)="04",1,0)</formula>
    </cfRule>
    <cfRule type="expression" dxfId="2334" priority="160">
      <formula>IF(LEFT($A$7,2)="05",1,0)</formula>
    </cfRule>
    <cfRule type="expression" dxfId="2333" priority="157">
      <formula>IF(LEFT($A$7,2)="02",1,0)</formula>
    </cfRule>
  </conditionalFormatting>
  <conditionalFormatting sqref="D104:S104">
    <cfRule type="expression" dxfId="2332" priority="70">
      <formula>IF(LEFT($A$7,2)="05",1,0)</formula>
    </cfRule>
    <cfRule type="expression" dxfId="2331" priority="69">
      <formula>IF(LEFT($A$7,2)="04",1,0)</formula>
    </cfRule>
    <cfRule type="expression" dxfId="2330" priority="68">
      <formula>IF(LEFT($A$7,2)="03",1,0)</formula>
    </cfRule>
    <cfRule type="expression" dxfId="2329" priority="67">
      <formula>IF(LEFT($A$7,2)="02",1,0)</formula>
    </cfRule>
    <cfRule type="expression" dxfId="2328" priority="66">
      <formula>IF(LEFT($A$7,2)="01",1,0)</formula>
    </cfRule>
  </conditionalFormatting>
  <conditionalFormatting sqref="D154:S154">
    <cfRule type="expression" dxfId="2327" priority="65">
      <formula>IF(LEFT($A$7,2)="05",1,0)</formula>
    </cfRule>
    <cfRule type="expression" dxfId="2326" priority="64">
      <formula>IF(LEFT($A$7,2)="04",1,0)</formula>
    </cfRule>
    <cfRule type="expression" dxfId="2325" priority="63">
      <formula>IF(LEFT($A$7,2)="03",1,0)</formula>
    </cfRule>
    <cfRule type="expression" dxfId="2324" priority="62">
      <formula>IF(LEFT($A$7,2)="02",1,0)</formula>
    </cfRule>
    <cfRule type="expression" dxfId="2323" priority="61">
      <formula>IF(LEFT($A$7,2)="01",1,0)</formula>
    </cfRule>
  </conditionalFormatting>
  <conditionalFormatting sqref="D204:S204">
    <cfRule type="expression" dxfId="2322" priority="60">
      <formula>IF(LEFT($A$7,2)="05",1,0)</formula>
    </cfRule>
    <cfRule type="expression" dxfId="2321" priority="59">
      <formula>IF(LEFT($A$7,2)="04",1,0)</formula>
    </cfRule>
    <cfRule type="expression" dxfId="2320" priority="58">
      <formula>IF(LEFT($A$7,2)="03",1,0)</formula>
    </cfRule>
    <cfRule type="expression" dxfId="2319" priority="57">
      <formula>IF(LEFT($A$7,2)="02",1,0)</formula>
    </cfRule>
    <cfRule type="expression" dxfId="2318" priority="56">
      <formula>IF(LEFT($A$7,2)="01",1,0)</formula>
    </cfRule>
  </conditionalFormatting>
  <conditionalFormatting sqref="D254:S254">
    <cfRule type="expression" dxfId="2317" priority="55">
      <formula>IF(LEFT($A$7,2)="05",1,0)</formula>
    </cfRule>
    <cfRule type="expression" dxfId="2316" priority="54">
      <formula>IF(LEFT($A$7,2)="04",1,0)</formula>
    </cfRule>
    <cfRule type="expression" dxfId="2315" priority="53">
      <formula>IF(LEFT($A$7,2)="03",1,0)</formula>
    </cfRule>
    <cfRule type="expression" dxfId="2314" priority="52">
      <formula>IF(LEFT($A$7,2)="02",1,0)</formula>
    </cfRule>
    <cfRule type="expression" dxfId="2313" priority="51">
      <formula>IF(LEFT($A$7,2)="01",1,0)</formula>
    </cfRule>
  </conditionalFormatting>
  <conditionalFormatting sqref="D304:S304">
    <cfRule type="expression" dxfId="2312" priority="50">
      <formula>IF(LEFT($A$7,2)="05",1,0)</formula>
    </cfRule>
    <cfRule type="expression" dxfId="2311" priority="49">
      <formula>IF(LEFT($A$7,2)="04",1,0)</formula>
    </cfRule>
    <cfRule type="expression" dxfId="2310" priority="48">
      <formula>IF(LEFT($A$7,2)="03",1,0)</formula>
    </cfRule>
    <cfRule type="expression" dxfId="2309" priority="47">
      <formula>IF(LEFT($A$7,2)="02",1,0)</formula>
    </cfRule>
    <cfRule type="expression" dxfId="2308" priority="46">
      <formula>IF(LEFT($A$7,2)="01",1,0)</formula>
    </cfRule>
  </conditionalFormatting>
  <conditionalFormatting sqref="D354:S354">
    <cfRule type="expression" dxfId="2307" priority="41">
      <formula>IF(LEFT($A$7,2)="01",1,0)</formula>
    </cfRule>
    <cfRule type="expression" dxfId="2306" priority="42">
      <formula>IF(LEFT($A$7,2)="02",1,0)</formula>
    </cfRule>
    <cfRule type="expression" dxfId="2305" priority="43">
      <formula>IF(LEFT($A$7,2)="03",1,0)</formula>
    </cfRule>
    <cfRule type="expression" dxfId="2304" priority="44">
      <formula>IF(LEFT($A$7,2)="04",1,0)</formula>
    </cfRule>
    <cfRule type="expression" dxfId="2303" priority="45">
      <formula>IF(LEFT($A$7,2)="05",1,0)</formula>
    </cfRule>
  </conditionalFormatting>
  <conditionalFormatting sqref="D404:S404">
    <cfRule type="expression" dxfId="2302" priority="40">
      <formula>IF(LEFT($A$7,2)="05",1,0)</formula>
    </cfRule>
    <cfRule type="expression" dxfId="2301" priority="39">
      <formula>IF(LEFT($A$7,2)="04",1,0)</formula>
    </cfRule>
    <cfRule type="expression" dxfId="2300" priority="38">
      <formula>IF(LEFT($A$7,2)="03",1,0)</formula>
    </cfRule>
    <cfRule type="expression" dxfId="2299" priority="37">
      <formula>IF(LEFT($A$7,2)="02",1,0)</formula>
    </cfRule>
    <cfRule type="expression" dxfId="2298" priority="36">
      <formula>IF(LEFT($A$7,2)="01",1,0)</formula>
    </cfRule>
  </conditionalFormatting>
  <conditionalFormatting sqref="D454:S454">
    <cfRule type="expression" dxfId="2297" priority="35">
      <formula>IF(LEFT($A$7,2)="05",1,0)</formula>
    </cfRule>
    <cfRule type="expression" dxfId="2296" priority="34">
      <formula>IF(LEFT($A$7,2)="04",1,0)</formula>
    </cfRule>
    <cfRule type="expression" dxfId="2295" priority="33">
      <formula>IF(LEFT($A$7,2)="03",1,0)</formula>
    </cfRule>
    <cfRule type="expression" dxfId="2294" priority="32">
      <formula>IF(LEFT($A$7,2)="02",1,0)</formula>
    </cfRule>
    <cfRule type="expression" dxfId="2293" priority="31">
      <formula>IF(LEFT($A$7,2)="01",1,0)</formula>
    </cfRule>
  </conditionalFormatting>
  <conditionalFormatting sqref="D504:S504">
    <cfRule type="expression" dxfId="2292" priority="30">
      <formula>IF(LEFT($A$7,2)="05",1,0)</formula>
    </cfRule>
    <cfRule type="expression" dxfId="2291" priority="29">
      <formula>IF(LEFT($A$7,2)="04",1,0)</formula>
    </cfRule>
    <cfRule type="expression" dxfId="2290" priority="28">
      <formula>IF(LEFT($A$7,2)="03",1,0)</formula>
    </cfRule>
    <cfRule type="expression" dxfId="2289" priority="27">
      <formula>IF(LEFT($A$7,2)="02",1,0)</formula>
    </cfRule>
    <cfRule type="expression" dxfId="2288" priority="26">
      <formula>IF(LEFT($A$7,2)="01",1,0)</formula>
    </cfRule>
  </conditionalFormatting>
  <conditionalFormatting sqref="D554:S554">
    <cfRule type="expression" dxfId="2287" priority="25">
      <formula>IF(LEFT($A$7,2)="05",1,0)</formula>
    </cfRule>
    <cfRule type="expression" dxfId="2286" priority="24">
      <formula>IF(LEFT($A$7,2)="04",1,0)</formula>
    </cfRule>
    <cfRule type="expression" dxfId="2285" priority="23">
      <formula>IF(LEFT($A$7,2)="03",1,0)</formula>
    </cfRule>
    <cfRule type="expression" dxfId="2284" priority="22">
      <formula>IF(LEFT($A$7,2)="02",1,0)</formula>
    </cfRule>
    <cfRule type="expression" dxfId="2283" priority="21">
      <formula>IF(LEFT($A$7,2)="01",1,0)</formula>
    </cfRule>
  </conditionalFormatting>
  <conditionalFormatting sqref="D604:S604">
    <cfRule type="expression" dxfId="2282" priority="20">
      <formula>IF(LEFT($A$7,2)="05",1,0)</formula>
    </cfRule>
    <cfRule type="expression" dxfId="2281" priority="19">
      <formula>IF(LEFT($A$7,2)="04",1,0)</formula>
    </cfRule>
    <cfRule type="expression" dxfId="2280" priority="18">
      <formula>IF(LEFT($A$7,2)="03",1,0)</formula>
    </cfRule>
    <cfRule type="expression" dxfId="2279" priority="17">
      <formula>IF(LEFT($A$7,2)="02",1,0)</formula>
    </cfRule>
    <cfRule type="expression" dxfId="2278" priority="16">
      <formula>IF(LEFT($A$7,2)="01",1,0)</formula>
    </cfRule>
  </conditionalFormatting>
  <conditionalFormatting sqref="D654:S654">
    <cfRule type="expression" dxfId="2277" priority="15">
      <formula>IF(LEFT($A$7,2)="05",1,0)</formula>
    </cfRule>
    <cfRule type="expression" dxfId="2276" priority="14">
      <formula>IF(LEFT($A$7,2)="04",1,0)</formula>
    </cfRule>
    <cfRule type="expression" dxfId="2275" priority="13">
      <formula>IF(LEFT($A$7,2)="03",1,0)</formula>
    </cfRule>
    <cfRule type="expression" dxfId="2274" priority="12">
      <formula>IF(LEFT($A$7,2)="02",1,0)</formula>
    </cfRule>
    <cfRule type="expression" dxfId="2273" priority="11">
      <formula>IF(LEFT($A$7,2)="01",1,0)</formula>
    </cfRule>
  </conditionalFormatting>
  <conditionalFormatting sqref="D704:S704">
    <cfRule type="expression" dxfId="2272" priority="10">
      <formula>IF(LEFT($A$7,2)="05",1,0)</formula>
    </cfRule>
    <cfRule type="expression" dxfId="2271" priority="9">
      <formula>IF(LEFT($A$7,2)="04",1,0)</formula>
    </cfRule>
    <cfRule type="expression" dxfId="2270" priority="8">
      <formula>IF(LEFT($A$7,2)="03",1,0)</formula>
    </cfRule>
    <cfRule type="expression" dxfId="2269" priority="7">
      <formula>IF(LEFT($A$7,2)="02",1,0)</formula>
    </cfRule>
    <cfRule type="expression" dxfId="2268" priority="6">
      <formula>IF(LEFT($A$7,2)="01",1,0)</formula>
    </cfRule>
  </conditionalFormatting>
  <conditionalFormatting sqref="D754:S754">
    <cfRule type="expression" dxfId="2267" priority="5">
      <formula>IF(LEFT($A$7,2)="05",1,0)</formula>
    </cfRule>
    <cfRule type="expression" dxfId="2266" priority="4">
      <formula>IF(LEFT($A$7,2)="04",1,0)</formula>
    </cfRule>
    <cfRule type="expression" dxfId="2265" priority="3">
      <formula>IF(LEFT($A$7,2)="03",1,0)</formula>
    </cfRule>
    <cfRule type="expression" dxfId="2264" priority="2">
      <formula>IF(LEFT($A$7,2)="02",1,0)</formula>
    </cfRule>
    <cfRule type="expression" dxfId="2263" priority="1">
      <formula>IF(LEFT($A$7,2)="01",1,0)</formula>
    </cfRule>
  </conditionalFormatting>
  <conditionalFormatting sqref="G8">
    <cfRule type="cellIs" dxfId="2262" priority="204" operator="equal">
      <formula>1</formula>
    </cfRule>
    <cfRule type="cellIs" dxfId="2261" priority="205" operator="equal">
      <formula>2</formula>
    </cfRule>
    <cfRule type="cellIs" dxfId="2260" priority="206" operator="equal">
      <formula>3</formula>
    </cfRule>
    <cfRule type="cellIs" dxfId="2259" priority="207" operator="equal">
      <formula>4</formula>
    </cfRule>
    <cfRule type="cellIs" dxfId="2258" priority="208" operator="equal">
      <formula>5</formula>
    </cfRule>
    <cfRule type="cellIs" dxfId="2257" priority="209" operator="equal">
      <formula>6</formula>
    </cfRule>
    <cfRule type="cellIs" dxfId="2256" priority="196" operator="equal">
      <formula>2</formula>
    </cfRule>
    <cfRule type="cellIs" dxfId="2255" priority="197" operator="equal">
      <formula>3</formula>
    </cfRule>
    <cfRule type="cellIs" dxfId="2254" priority="198" operator="equal">
      <formula>4</formula>
    </cfRule>
    <cfRule type="cellIs" dxfId="2253" priority="199" operator="equal">
      <formula>5</formula>
    </cfRule>
    <cfRule type="cellIs" dxfId="2252" priority="200" operator="equal">
      <formula>6</formula>
    </cfRule>
    <cfRule type="cellIs" dxfId="2251" priority="201" operator="equal">
      <formula>7</formula>
    </cfRule>
    <cfRule type="cellIs" dxfId="2250" priority="203" operator="equal">
      <formula>"x"</formula>
    </cfRule>
  </conditionalFormatting>
  <conditionalFormatting sqref="G10 G12">
    <cfRule type="cellIs" dxfId="2249" priority="315" operator="equal">
      <formula>"x"</formula>
    </cfRule>
    <cfRule type="cellIs" dxfId="2248" priority="321" operator="equal">
      <formula>6</formula>
    </cfRule>
    <cfRule type="cellIs" dxfId="2247" priority="308" operator="equal">
      <formula>2</formula>
    </cfRule>
    <cfRule type="cellIs" dxfId="2246" priority="309" operator="equal">
      <formula>3</formula>
    </cfRule>
    <cfRule type="cellIs" dxfId="2245" priority="320" operator="equal">
      <formula>5</formula>
    </cfRule>
    <cfRule type="cellIs" dxfId="2244" priority="319" operator="equal">
      <formula>4</formula>
    </cfRule>
    <cfRule type="cellIs" dxfId="2243" priority="318" operator="equal">
      <formula>3</formula>
    </cfRule>
    <cfRule type="cellIs" dxfId="2242" priority="317" operator="equal">
      <formula>2</formula>
    </cfRule>
    <cfRule type="cellIs" dxfId="2241" priority="310" operator="equal">
      <formula>4</formula>
    </cfRule>
    <cfRule type="cellIs" dxfId="2240" priority="316" operator="equal">
      <formula>1</formula>
    </cfRule>
    <cfRule type="cellIs" dxfId="2239" priority="311" operator="equal">
      <formula>5</formula>
    </cfRule>
    <cfRule type="cellIs" dxfId="2238" priority="313" operator="equal">
      <formula>7</formula>
    </cfRule>
    <cfRule type="cellIs" dxfId="2237" priority="312" operator="equal">
      <formula>6</formula>
    </cfRule>
  </conditionalFormatting>
  <conditionalFormatting sqref="G14">
    <cfRule type="cellIs" dxfId="2236" priority="304" operator="equal">
      <formula>3</formula>
    </cfRule>
    <cfRule type="cellIs" dxfId="2235" priority="306" operator="equal">
      <formula>5</formula>
    </cfRule>
    <cfRule type="cellIs" dxfId="2234" priority="307" operator="equal">
      <formula>6</formula>
    </cfRule>
    <cfRule type="cellIs" dxfId="2233" priority="305" operator="equal">
      <formula>4</formula>
    </cfRule>
    <cfRule type="cellIs" dxfId="2232" priority="303" operator="equal">
      <formula>2</formula>
    </cfRule>
    <cfRule type="cellIs" dxfId="2231" priority="302" operator="equal">
      <formula>1</formula>
    </cfRule>
    <cfRule type="cellIs" dxfId="2230" priority="301" operator="equal">
      <formula>"x"</formula>
    </cfRule>
    <cfRule type="cellIs" dxfId="2229" priority="299" operator="equal">
      <formula>7</formula>
    </cfRule>
    <cfRule type="cellIs" dxfId="2228" priority="298" operator="equal">
      <formula>6</formula>
    </cfRule>
    <cfRule type="cellIs" dxfId="2227" priority="297" operator="equal">
      <formula>5</formula>
    </cfRule>
    <cfRule type="cellIs" dxfId="2226" priority="296" operator="equal">
      <formula>4</formula>
    </cfRule>
    <cfRule type="cellIs" dxfId="2225" priority="295" operator="equal">
      <formula>3</formula>
    </cfRule>
    <cfRule type="cellIs" dxfId="2224" priority="294" operator="equal">
      <formula>2</formula>
    </cfRule>
  </conditionalFormatting>
  <conditionalFormatting sqref="G16">
    <cfRule type="cellIs" dxfId="2223" priority="283" operator="equal">
      <formula>5</formula>
    </cfRule>
    <cfRule type="cellIs" dxfId="2222" priority="291" operator="equal">
      <formula>4</formula>
    </cfRule>
    <cfRule type="cellIs" dxfId="2221" priority="280" operator="equal">
      <formula>2</formula>
    </cfRule>
    <cfRule type="cellIs" dxfId="2220" priority="281" operator="equal">
      <formula>3</formula>
    </cfRule>
    <cfRule type="cellIs" dxfId="2219" priority="282" operator="equal">
      <formula>4</formula>
    </cfRule>
    <cfRule type="cellIs" dxfId="2218" priority="290" operator="equal">
      <formula>3</formula>
    </cfRule>
    <cfRule type="cellIs" dxfId="2217" priority="284" operator="equal">
      <formula>6</formula>
    </cfRule>
    <cfRule type="cellIs" dxfId="2216" priority="285" operator="equal">
      <formula>7</formula>
    </cfRule>
    <cfRule type="cellIs" dxfId="2215" priority="287" operator="equal">
      <formula>"x"</formula>
    </cfRule>
    <cfRule type="cellIs" dxfId="2214" priority="288" operator="equal">
      <formula>1</formula>
    </cfRule>
    <cfRule type="cellIs" dxfId="2213" priority="289" operator="equal">
      <formula>2</formula>
    </cfRule>
    <cfRule type="cellIs" dxfId="2212" priority="292" operator="equal">
      <formula>5</formula>
    </cfRule>
    <cfRule type="cellIs" dxfId="2211" priority="293" operator="equal">
      <formula>6</formula>
    </cfRule>
  </conditionalFormatting>
  <conditionalFormatting sqref="G18">
    <cfRule type="cellIs" dxfId="2210" priority="274" operator="equal">
      <formula>1</formula>
    </cfRule>
    <cfRule type="cellIs" dxfId="2209" priority="279" operator="equal">
      <formula>6</formula>
    </cfRule>
    <cfRule type="cellIs" dxfId="2208" priority="277" operator="equal">
      <formula>4</formula>
    </cfRule>
    <cfRule type="cellIs" dxfId="2207" priority="276" operator="equal">
      <formula>3</formula>
    </cfRule>
    <cfRule type="cellIs" dxfId="2206" priority="275" operator="equal">
      <formula>2</formula>
    </cfRule>
    <cfRule type="cellIs" dxfId="2205" priority="273" operator="equal">
      <formula>"x"</formula>
    </cfRule>
    <cfRule type="cellIs" dxfId="2204" priority="278" operator="equal">
      <formula>5</formula>
    </cfRule>
    <cfRule type="cellIs" dxfId="2203" priority="270" operator="equal">
      <formula>6</formula>
    </cfRule>
    <cfRule type="cellIs" dxfId="2202" priority="269" operator="equal">
      <formula>5</formula>
    </cfRule>
    <cfRule type="cellIs" dxfId="2201" priority="268" operator="equal">
      <formula>4</formula>
    </cfRule>
    <cfRule type="cellIs" dxfId="2200" priority="267" operator="equal">
      <formula>3</formula>
    </cfRule>
    <cfRule type="cellIs" dxfId="2199" priority="266" operator="equal">
      <formula>2</formula>
    </cfRule>
    <cfRule type="cellIs" dxfId="2198" priority="271" operator="equal">
      <formula>7</formula>
    </cfRule>
  </conditionalFormatting>
  <conditionalFormatting sqref="G20">
    <cfRule type="cellIs" dxfId="2197" priority="265" operator="equal">
      <formula>6</formula>
    </cfRule>
    <cfRule type="cellIs" dxfId="2196" priority="253" operator="equal">
      <formula>3</formula>
    </cfRule>
    <cfRule type="cellIs" dxfId="2195" priority="264" operator="equal">
      <formula>5</formula>
    </cfRule>
    <cfRule type="cellIs" dxfId="2194" priority="263" operator="equal">
      <formula>4</formula>
    </cfRule>
    <cfRule type="cellIs" dxfId="2193" priority="262" operator="equal">
      <formula>3</formula>
    </cfRule>
    <cfRule type="cellIs" dxfId="2192" priority="261" operator="equal">
      <formula>2</formula>
    </cfRule>
    <cfRule type="cellIs" dxfId="2191" priority="260" operator="equal">
      <formula>1</formula>
    </cfRule>
    <cfRule type="cellIs" dxfId="2190" priority="259" operator="equal">
      <formula>"x"</formula>
    </cfRule>
    <cfRule type="cellIs" dxfId="2189" priority="257" operator="equal">
      <formula>7</formula>
    </cfRule>
    <cfRule type="cellIs" dxfId="2188" priority="256" operator="equal">
      <formula>6</formula>
    </cfRule>
    <cfRule type="cellIs" dxfId="2187" priority="255" operator="equal">
      <formula>5</formula>
    </cfRule>
    <cfRule type="cellIs" dxfId="2186" priority="254" operator="equal">
      <formula>4</formula>
    </cfRule>
    <cfRule type="cellIs" dxfId="2185" priority="252" operator="equal">
      <formula>2</formula>
    </cfRule>
  </conditionalFormatting>
  <conditionalFormatting sqref="G22 G24 G26 G28 G30 G32 G34 G36">
    <cfRule type="cellIs" dxfId="2184" priority="238" operator="equal">
      <formula>2</formula>
    </cfRule>
    <cfRule type="cellIs" dxfId="2183" priority="239" operator="equal">
      <formula>3</formula>
    </cfRule>
    <cfRule type="cellIs" dxfId="2182" priority="240" operator="equal">
      <formula>4</formula>
    </cfRule>
    <cfRule type="cellIs" dxfId="2181" priority="241" operator="equal">
      <formula>5</formula>
    </cfRule>
    <cfRule type="cellIs" dxfId="2180" priority="251" operator="equal">
      <formula>6</formula>
    </cfRule>
    <cfRule type="cellIs" dxfId="2179" priority="250" operator="equal">
      <formula>5</formula>
    </cfRule>
    <cfRule type="cellIs" dxfId="2178" priority="249" operator="equal">
      <formula>4</formula>
    </cfRule>
    <cfRule type="cellIs" dxfId="2177" priority="248" operator="equal">
      <formula>3</formula>
    </cfRule>
    <cfRule type="cellIs" dxfId="2176" priority="247" operator="equal">
      <formula>2</formula>
    </cfRule>
    <cfRule type="cellIs" dxfId="2175" priority="246" operator="equal">
      <formula>1</formula>
    </cfRule>
    <cfRule type="cellIs" dxfId="2174" priority="245" operator="equal">
      <formula>"x"</formula>
    </cfRule>
    <cfRule type="cellIs" dxfId="2173" priority="243" operator="equal">
      <formula>7</formula>
    </cfRule>
    <cfRule type="cellIs" dxfId="2172" priority="242" operator="equal">
      <formula>6</formula>
    </cfRule>
  </conditionalFormatting>
  <conditionalFormatting sqref="G38">
    <cfRule type="cellIs" dxfId="2171" priority="226" operator="equal">
      <formula>4</formula>
    </cfRule>
    <cfRule type="cellIs" dxfId="2170" priority="227" operator="equal">
      <formula>5</formula>
    </cfRule>
    <cfRule type="cellIs" dxfId="2169" priority="229" operator="equal">
      <formula>7</formula>
    </cfRule>
    <cfRule type="cellIs" dxfId="2168" priority="231" operator="equal">
      <formula>"x"</formula>
    </cfRule>
    <cfRule type="cellIs" dxfId="2167" priority="232" operator="equal">
      <formula>1</formula>
    </cfRule>
    <cfRule type="cellIs" dxfId="2166" priority="233" operator="equal">
      <formula>2</formula>
    </cfRule>
    <cfRule type="cellIs" dxfId="2165" priority="235" operator="equal">
      <formula>4</formula>
    </cfRule>
    <cfRule type="cellIs" dxfId="2164" priority="236" operator="equal">
      <formula>5</formula>
    </cfRule>
    <cfRule type="cellIs" dxfId="2163" priority="228" operator="equal">
      <formula>6</formula>
    </cfRule>
    <cfRule type="cellIs" dxfId="2162" priority="237" operator="equal">
      <formula>6</formula>
    </cfRule>
    <cfRule type="cellIs" dxfId="2161" priority="224" operator="equal">
      <formula>2</formula>
    </cfRule>
    <cfRule type="cellIs" dxfId="2160" priority="225" operator="equal">
      <formula>3</formula>
    </cfRule>
    <cfRule type="cellIs" dxfId="2159" priority="234" operator="equal">
      <formula>3</formula>
    </cfRule>
  </conditionalFormatting>
  <conditionalFormatting sqref="G8:H8 G10:H10 G12:H12 G14:H14 G16:H16 G18:H18 G20:H20 G22:H22 G24:H24 G26:H26 G28:H28 G30:H30 G32:H32 G34:H34 G36:H36 G38:H38">
    <cfRule type="cellIs" dxfId="2158" priority="167" operator="equal">
      <formula>1</formula>
    </cfRule>
  </conditionalFormatting>
  <conditionalFormatting sqref="H8 H10 H12 H14 H16 H18 H20 H22 H24 H26 H28 H30 H32 H34 H36 H38">
    <cfRule type="cellIs" dxfId="2157" priority="171" operator="equal">
      <formula>5</formula>
    </cfRule>
    <cfRule type="cellIs" dxfId="2156" priority="170" operator="equal">
      <formula>4</formula>
    </cfRule>
    <cfRule type="cellIs" dxfId="2155" priority="166" operator="equal">
      <formula>0</formula>
    </cfRule>
    <cfRule type="cellIs" dxfId="2154" priority="168" operator="equal">
      <formula>2</formula>
    </cfRule>
    <cfRule type="cellIs" dxfId="2153" priority="169" operator="equal">
      <formula>3</formula>
    </cfRule>
  </conditionalFormatting>
  <conditionalFormatting sqref="H60:S75">
    <cfRule type="cellIs" dxfId="2152" priority="155" operator="equal">
      <formula>0</formula>
    </cfRule>
    <cfRule type="cellIs" dxfId="2151" priority="162" operator="equal">
      <formula>2</formula>
    </cfRule>
    <cfRule type="cellIs" dxfId="2150" priority="161" operator="equal">
      <formula>1</formula>
    </cfRule>
    <cfRule type="cellIs" dxfId="2149" priority="163" operator="equal">
      <formula>3</formula>
    </cfRule>
    <cfRule type="cellIs" dxfId="2148" priority="164" operator="equal">
      <formula>4</formula>
    </cfRule>
    <cfRule type="cellIs" dxfId="2147" priority="165" operator="equal">
      <formula>5</formula>
    </cfRule>
  </conditionalFormatting>
  <conditionalFormatting sqref="H110:S125">
    <cfRule type="cellIs" dxfId="2146" priority="149" operator="equal">
      <formula>0</formula>
    </cfRule>
    <cfRule type="cellIs" dxfId="2145" priority="150" operator="equal">
      <formula>1</formula>
    </cfRule>
    <cfRule type="cellIs" dxfId="2144" priority="151" operator="equal">
      <formula>2</formula>
    </cfRule>
    <cfRule type="cellIs" dxfId="2143" priority="152" operator="equal">
      <formula>3</formula>
    </cfRule>
    <cfRule type="cellIs" dxfId="2142" priority="154" operator="equal">
      <formula>5</formula>
    </cfRule>
    <cfRule type="cellIs" dxfId="2141" priority="153" operator="equal">
      <formula>4</formula>
    </cfRule>
  </conditionalFormatting>
  <conditionalFormatting sqref="H160:S175">
    <cfRule type="cellIs" dxfId="2140" priority="146" operator="equal">
      <formula>3</formula>
    </cfRule>
    <cfRule type="cellIs" dxfId="2139" priority="147" operator="equal">
      <formula>4</formula>
    </cfRule>
    <cfRule type="cellIs" dxfId="2138" priority="145" operator="equal">
      <formula>2</formula>
    </cfRule>
    <cfRule type="cellIs" dxfId="2137" priority="148" operator="equal">
      <formula>5</formula>
    </cfRule>
    <cfRule type="cellIs" dxfId="2136" priority="144" operator="equal">
      <formula>1</formula>
    </cfRule>
    <cfRule type="cellIs" dxfId="2135" priority="143" operator="equal">
      <formula>0</formula>
    </cfRule>
  </conditionalFormatting>
  <conditionalFormatting sqref="H210:S225">
    <cfRule type="cellIs" dxfId="2134" priority="142" operator="equal">
      <formula>5</formula>
    </cfRule>
    <cfRule type="cellIs" dxfId="2133" priority="141" operator="equal">
      <formula>4</formula>
    </cfRule>
    <cfRule type="cellIs" dxfId="2132" priority="140" operator="equal">
      <formula>3</formula>
    </cfRule>
    <cfRule type="cellIs" dxfId="2131" priority="139" operator="equal">
      <formula>2</formula>
    </cfRule>
    <cfRule type="cellIs" dxfId="2130" priority="138" operator="equal">
      <formula>1</formula>
    </cfRule>
    <cfRule type="cellIs" dxfId="2129" priority="137" operator="equal">
      <formula>0</formula>
    </cfRule>
  </conditionalFormatting>
  <conditionalFormatting sqref="H260:S275">
    <cfRule type="cellIs" dxfId="2128" priority="132" operator="equal">
      <formula>1</formula>
    </cfRule>
    <cfRule type="cellIs" dxfId="2127" priority="133" operator="equal">
      <formula>2</formula>
    </cfRule>
    <cfRule type="cellIs" dxfId="2126" priority="135" operator="equal">
      <formula>4</formula>
    </cfRule>
    <cfRule type="cellIs" dxfId="2125" priority="136" operator="equal">
      <formula>5</formula>
    </cfRule>
    <cfRule type="cellIs" dxfId="2124" priority="134" operator="equal">
      <formula>3</formula>
    </cfRule>
    <cfRule type="cellIs" dxfId="2123" priority="131" operator="equal">
      <formula>0</formula>
    </cfRule>
  </conditionalFormatting>
  <conditionalFormatting sqref="H310:S325">
    <cfRule type="cellIs" dxfId="2122" priority="127" operator="equal">
      <formula>2</formula>
    </cfRule>
    <cfRule type="cellIs" dxfId="2121" priority="125" operator="equal">
      <formula>0</formula>
    </cfRule>
    <cfRule type="cellIs" dxfId="2120" priority="126" operator="equal">
      <formula>1</formula>
    </cfRule>
    <cfRule type="cellIs" dxfId="2119" priority="130" operator="equal">
      <formula>5</formula>
    </cfRule>
    <cfRule type="cellIs" dxfId="2118" priority="129" operator="equal">
      <formula>4</formula>
    </cfRule>
    <cfRule type="cellIs" dxfId="2117" priority="128" operator="equal">
      <formula>3</formula>
    </cfRule>
  </conditionalFormatting>
  <conditionalFormatting sqref="H360:S375">
    <cfRule type="cellIs" dxfId="2116" priority="123" operator="equal">
      <formula>4</formula>
    </cfRule>
    <cfRule type="cellIs" dxfId="2115" priority="122" operator="equal">
      <formula>3</formula>
    </cfRule>
    <cfRule type="cellIs" dxfId="2114" priority="121" operator="equal">
      <formula>2</formula>
    </cfRule>
    <cfRule type="cellIs" dxfId="2113" priority="120" operator="equal">
      <formula>1</formula>
    </cfRule>
    <cfRule type="cellIs" dxfId="2112" priority="119" operator="equal">
      <formula>0</formula>
    </cfRule>
    <cfRule type="cellIs" dxfId="2111" priority="124" operator="equal">
      <formula>5</formula>
    </cfRule>
  </conditionalFormatting>
  <conditionalFormatting sqref="H410:S425">
    <cfRule type="cellIs" dxfId="2110" priority="118" operator="equal">
      <formula>5</formula>
    </cfRule>
    <cfRule type="cellIs" dxfId="2109" priority="117" operator="equal">
      <formula>4</formula>
    </cfRule>
    <cfRule type="cellIs" dxfId="2108" priority="116" operator="equal">
      <formula>3</formula>
    </cfRule>
    <cfRule type="cellIs" dxfId="2107" priority="115" operator="equal">
      <formula>2</formula>
    </cfRule>
    <cfRule type="cellIs" dxfId="2106" priority="114" operator="equal">
      <formula>1</formula>
    </cfRule>
    <cfRule type="cellIs" dxfId="2105" priority="113" operator="equal">
      <formula>0</formula>
    </cfRule>
  </conditionalFormatting>
  <conditionalFormatting sqref="H460:S475">
    <cfRule type="cellIs" dxfId="2104" priority="111" operator="equal">
      <formula>4</formula>
    </cfRule>
    <cfRule type="cellIs" dxfId="2103" priority="112" operator="equal">
      <formula>5</formula>
    </cfRule>
    <cfRule type="cellIs" dxfId="2102" priority="110" operator="equal">
      <formula>3</formula>
    </cfRule>
    <cfRule type="cellIs" dxfId="2101" priority="109" operator="equal">
      <formula>2</formula>
    </cfRule>
    <cfRule type="cellIs" dxfId="2100" priority="108" operator="equal">
      <formula>1</formula>
    </cfRule>
    <cfRule type="cellIs" dxfId="2099" priority="107" operator="equal">
      <formula>0</formula>
    </cfRule>
  </conditionalFormatting>
  <conditionalFormatting sqref="H510:S525">
    <cfRule type="cellIs" dxfId="2098" priority="102" operator="equal">
      <formula>1</formula>
    </cfRule>
    <cfRule type="cellIs" dxfId="2097" priority="101" operator="equal">
      <formula>0</formula>
    </cfRule>
    <cfRule type="cellIs" dxfId="2096" priority="103" operator="equal">
      <formula>2</formula>
    </cfRule>
    <cfRule type="cellIs" dxfId="2095" priority="106" operator="equal">
      <formula>5</formula>
    </cfRule>
    <cfRule type="cellIs" dxfId="2094" priority="105" operator="equal">
      <formula>4</formula>
    </cfRule>
    <cfRule type="cellIs" dxfId="2093" priority="104" operator="equal">
      <formula>3</formula>
    </cfRule>
  </conditionalFormatting>
  <conditionalFormatting sqref="H560:S575">
    <cfRule type="cellIs" dxfId="2092" priority="97" operator="equal">
      <formula>2</formula>
    </cfRule>
    <cfRule type="cellIs" dxfId="2091" priority="95" operator="equal">
      <formula>0</formula>
    </cfRule>
    <cfRule type="cellIs" dxfId="2090" priority="96" operator="equal">
      <formula>1</formula>
    </cfRule>
    <cfRule type="cellIs" dxfId="2089" priority="98" operator="equal">
      <formula>3</formula>
    </cfRule>
    <cfRule type="cellIs" dxfId="2088" priority="99" operator="equal">
      <formula>4</formula>
    </cfRule>
    <cfRule type="cellIs" dxfId="2087" priority="100" operator="equal">
      <formula>5</formula>
    </cfRule>
  </conditionalFormatting>
  <conditionalFormatting sqref="H610:S625">
    <cfRule type="cellIs" dxfId="2086" priority="89" operator="equal">
      <formula>0</formula>
    </cfRule>
    <cfRule type="cellIs" dxfId="2085" priority="90" operator="equal">
      <formula>1</formula>
    </cfRule>
    <cfRule type="cellIs" dxfId="2084" priority="91" operator="equal">
      <formula>2</formula>
    </cfRule>
    <cfRule type="cellIs" dxfId="2083" priority="92" operator="equal">
      <formula>3</formula>
    </cfRule>
    <cfRule type="cellIs" dxfId="2082" priority="93" operator="equal">
      <formula>4</formula>
    </cfRule>
    <cfRule type="cellIs" dxfId="2081" priority="94" operator="equal">
      <formula>5</formula>
    </cfRule>
  </conditionalFormatting>
  <conditionalFormatting sqref="H660:S675">
    <cfRule type="cellIs" dxfId="2080" priority="85" operator="equal">
      <formula>2</formula>
    </cfRule>
    <cfRule type="cellIs" dxfId="2079" priority="84" operator="equal">
      <formula>1</formula>
    </cfRule>
    <cfRule type="cellIs" dxfId="2078" priority="88" operator="equal">
      <formula>5</formula>
    </cfRule>
    <cfRule type="cellIs" dxfId="2077" priority="87" operator="equal">
      <formula>4</formula>
    </cfRule>
    <cfRule type="cellIs" dxfId="2076" priority="86" operator="equal">
      <formula>3</formula>
    </cfRule>
    <cfRule type="cellIs" dxfId="2075" priority="83" operator="equal">
      <formula>0</formula>
    </cfRule>
  </conditionalFormatting>
  <conditionalFormatting sqref="H710:S725">
    <cfRule type="cellIs" dxfId="2074" priority="81" operator="equal">
      <formula>4</formula>
    </cfRule>
    <cfRule type="cellIs" dxfId="2073" priority="77" operator="equal">
      <formula>0</formula>
    </cfRule>
    <cfRule type="cellIs" dxfId="2072" priority="78" operator="equal">
      <formula>1</formula>
    </cfRule>
    <cfRule type="cellIs" dxfId="2071" priority="79" operator="equal">
      <formula>2</formula>
    </cfRule>
    <cfRule type="cellIs" dxfId="2070" priority="82" operator="equal">
      <formula>5</formula>
    </cfRule>
    <cfRule type="cellIs" dxfId="2069" priority="80" operator="equal">
      <formula>3</formula>
    </cfRule>
  </conditionalFormatting>
  <conditionalFormatting sqref="H760:S775">
    <cfRule type="cellIs" dxfId="2068" priority="72" operator="equal">
      <formula>1</formula>
    </cfRule>
    <cfRule type="cellIs" dxfId="2067" priority="73" operator="equal">
      <formula>2</formula>
    </cfRule>
    <cfRule type="cellIs" dxfId="2066" priority="75" operator="equal">
      <formula>4</formula>
    </cfRule>
    <cfRule type="cellIs" dxfId="2065" priority="74" operator="equal">
      <formula>3</formula>
    </cfRule>
    <cfRule type="cellIs" dxfId="2064" priority="71" operator="equal">
      <formula>0</formula>
    </cfRule>
    <cfRule type="cellIs" dxfId="2063" priority="76" operator="equal">
      <formula>5</formula>
    </cfRule>
  </conditionalFormatting>
  <conditionalFormatting sqref="J8">
    <cfRule type="cellIs" dxfId="2062" priority="187" operator="equal">
      <formula>7</formula>
    </cfRule>
    <cfRule type="cellIs" dxfId="2061" priority="188" operator="equal">
      <formula>1</formula>
    </cfRule>
    <cfRule type="cellIs" dxfId="2060" priority="182" operator="equal">
      <formula>2</formula>
    </cfRule>
    <cfRule type="cellIs" dxfId="2059" priority="183" operator="equal">
      <formula>3</formula>
    </cfRule>
    <cfRule type="cellIs" dxfId="2058" priority="184" operator="equal">
      <formula>4</formula>
    </cfRule>
    <cfRule type="cellIs" dxfId="2057" priority="186" operator="equal">
      <formula>6</formula>
    </cfRule>
    <cfRule type="cellIs" dxfId="2056" priority="192" operator="equal">
      <formula>3</formula>
    </cfRule>
    <cfRule type="cellIs" dxfId="2055" priority="193" operator="equal">
      <formula>4</formula>
    </cfRule>
    <cfRule type="cellIs" dxfId="2054" priority="195" operator="equal">
      <formula>6</formula>
    </cfRule>
    <cfRule type="cellIs" dxfId="2053" priority="194" operator="equal">
      <formula>5</formula>
    </cfRule>
    <cfRule type="cellIs" dxfId="2052" priority="191" operator="equal">
      <formula>2</formula>
    </cfRule>
    <cfRule type="cellIs" dxfId="2051" priority="190" operator="equal">
      <formula>1</formula>
    </cfRule>
    <cfRule type="cellIs" dxfId="2050" priority="189" operator="equal">
      <formula>"x"</formula>
    </cfRule>
    <cfRule type="cellIs" dxfId="2049" priority="185" operator="equal">
      <formula>5</formula>
    </cfRule>
  </conditionalFormatting>
  <conditionalFormatting sqref="J10 J12 J14 J16 J18 J20 J22 J24 J26 J28 J30 J32 J34 J36 J38">
    <cfRule type="cellIs" dxfId="2048" priority="212" operator="equal">
      <formula>4</formula>
    </cfRule>
    <cfRule type="cellIs" dxfId="2047" priority="214" operator="equal">
      <formula>6</formula>
    </cfRule>
    <cfRule type="cellIs" dxfId="2046" priority="215" operator="equal">
      <formula>7</formula>
    </cfRule>
    <cfRule type="cellIs" dxfId="2045" priority="216" operator="equal">
      <formula>1</formula>
    </cfRule>
    <cfRule type="cellIs" dxfId="2044" priority="213" operator="equal">
      <formula>5</formula>
    </cfRule>
    <cfRule type="cellIs" dxfId="2043" priority="210" operator="equal">
      <formula>2</formula>
    </cfRule>
    <cfRule type="cellIs" dxfId="2042" priority="211" operator="equal">
      <formula>3</formula>
    </cfRule>
    <cfRule type="cellIs" dxfId="2041" priority="217" operator="equal">
      <formula>"x"</formula>
    </cfRule>
    <cfRule type="cellIs" dxfId="2040" priority="218" operator="equal">
      <formula>1</formula>
    </cfRule>
    <cfRule type="cellIs" dxfId="2039" priority="219" operator="equal">
      <formula>2</formula>
    </cfRule>
    <cfRule type="cellIs" dxfId="2038" priority="220" operator="equal">
      <formula>3</formula>
    </cfRule>
    <cfRule type="cellIs" dxfId="2037" priority="221" operator="equal">
      <formula>4</formula>
    </cfRule>
    <cfRule type="cellIs" dxfId="2036" priority="222" operator="equal">
      <formula>5</formula>
    </cfRule>
    <cfRule type="cellIs" dxfId="2035" priority="223" operator="equal">
      <formula>6</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0B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LEGENDA!$B$5:$B$10</xm:f>
          </x14:formula1>
          <xm:sqref>H8:I9</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43">
    <tabColor rgb="FFFFFF0D"/>
    <pageSetUpPr fitToPage="1"/>
  </sheetPr>
  <dimension ref="A1:AO790"/>
  <sheetViews>
    <sheetView topLeftCell="B1" zoomScale="80" zoomScaleNormal="80" zoomScalePageLayoutView="80" workbookViewId="0">
      <pane ySplit="2" topLeftCell="A3" activePane="bottomLeft" state="frozen"/>
      <selection activeCell="B8" sqref="B8"/>
      <selection pane="bottomLeft" activeCell="C3" sqref="C3"/>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123</v>
      </c>
      <c r="M4" s="383"/>
      <c r="N4" s="383"/>
      <c r="O4" s="384"/>
      <c r="P4" s="382" t="s">
        <v>132</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7.75" customHeight="1"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2</v>
      </c>
      <c r="I8" s="360"/>
      <c r="J8" s="363">
        <v>42292</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407" t="s">
        <v>133</v>
      </c>
      <c r="G10" s="403" t="s">
        <v>134</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16"/>
      <c r="B11" s="16"/>
      <c r="C11"/>
      <c r="D11" s="376"/>
      <c r="E11" s="326"/>
      <c r="F11" s="402"/>
      <c r="G11" s="404"/>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402" t="s">
        <v>135</v>
      </c>
      <c r="G12" s="403" t="s">
        <v>134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402"/>
      <c r="G13" s="404"/>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402" t="s">
        <v>136</v>
      </c>
      <c r="G14" s="403" t="s">
        <v>134</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402"/>
      <c r="G15" s="404"/>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402" t="s">
        <v>137</v>
      </c>
      <c r="G16" s="403" t="s">
        <v>134</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402"/>
      <c r="G17" s="404"/>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402" t="s">
        <v>138</v>
      </c>
      <c r="G18" s="403" t="s">
        <v>134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402"/>
      <c r="G19" s="404"/>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402" t="s">
        <v>139</v>
      </c>
      <c r="G20" s="405" t="s">
        <v>134</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402"/>
      <c r="G21" s="404"/>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402" t="s">
        <v>140</v>
      </c>
      <c r="G22" s="405" t="s">
        <v>134</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402"/>
      <c r="G23" s="404"/>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402" t="s">
        <v>141</v>
      </c>
      <c r="G24" s="405" t="s">
        <v>134</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402"/>
      <c r="G25" s="404"/>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t="str">
        <f ca="1">OFFSET($G$7,2*(D53+1)-1,0)</f>
        <v>Ingo</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t="str">
        <f ca="1">OFFSET($G$7,2*(D103+1)-1,0)</f>
        <v>Ingo</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t="str">
        <f ca="1">OFFSET($G$7,2*(D153+1)-1,0)</f>
        <v>Ingo</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t="str">
        <f ca="1">OFFSET($G$7,2*(D203+1)-1,0)</f>
        <v>Ingo</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t="str">
        <f ca="1">OFFSET($G$7,2*(D253+1)-1,0)</f>
        <v>Ingo</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t="str">
        <f ca="1">OFFSET($G$7,2*(D303+1)-1,0)</f>
        <v>Ingo</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t="str">
        <f ca="1">OFFSET($G$7,2*(D353+1)-1,0)</f>
        <v>Ingo</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t="str">
        <f ca="1">OFFSET($G$7,2*(D403+1)-1,0)</f>
        <v>Ingo</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D2:F2"/>
    <mergeCell ref="H2:K2"/>
    <mergeCell ref="L2:S2"/>
    <mergeCell ref="D3:E3"/>
    <mergeCell ref="F3:G3"/>
    <mergeCell ref="H3:K3"/>
    <mergeCell ref="L3:O3"/>
    <mergeCell ref="P3:S3"/>
    <mergeCell ref="D6:S6"/>
    <mergeCell ref="H7:I7"/>
    <mergeCell ref="J7:K7"/>
    <mergeCell ref="L7:P7"/>
    <mergeCell ref="Q7:S7"/>
    <mergeCell ref="U7:V7"/>
    <mergeCell ref="D4:E4"/>
    <mergeCell ref="F4:G4"/>
    <mergeCell ref="H4:K4"/>
    <mergeCell ref="L4:O4"/>
    <mergeCell ref="P4:S4"/>
    <mergeCell ref="D5:S5"/>
    <mergeCell ref="L8:P9"/>
    <mergeCell ref="Q8:S9"/>
    <mergeCell ref="U8:V9"/>
    <mergeCell ref="E10:E11"/>
    <mergeCell ref="F10:F11"/>
    <mergeCell ref="G10:G11"/>
    <mergeCell ref="H10:I11"/>
    <mergeCell ref="J10:K11"/>
    <mergeCell ref="L10:P11"/>
    <mergeCell ref="Q10:S11"/>
    <mergeCell ref="E8:E9"/>
    <mergeCell ref="F8:F9"/>
    <mergeCell ref="G8:G9"/>
    <mergeCell ref="H8:I9"/>
    <mergeCell ref="J8:K9"/>
    <mergeCell ref="J12:K13"/>
    <mergeCell ref="L12:P13"/>
    <mergeCell ref="Q12:S13"/>
    <mergeCell ref="E14:E15"/>
    <mergeCell ref="F14:F15"/>
    <mergeCell ref="G14:G15"/>
    <mergeCell ref="H14:I15"/>
    <mergeCell ref="J14:K15"/>
    <mergeCell ref="L14:P15"/>
    <mergeCell ref="Q14:S15"/>
    <mergeCell ref="E12:E13"/>
    <mergeCell ref="F12:F13"/>
    <mergeCell ref="G12:G13"/>
    <mergeCell ref="H12:I13"/>
    <mergeCell ref="Q16:S17"/>
    <mergeCell ref="E18:E19"/>
    <mergeCell ref="F18:F19"/>
    <mergeCell ref="G18:G19"/>
    <mergeCell ref="H18:I19"/>
    <mergeCell ref="J18:K19"/>
    <mergeCell ref="L18:P19"/>
    <mergeCell ref="Q18:S19"/>
    <mergeCell ref="E16:E17"/>
    <mergeCell ref="F16:F17"/>
    <mergeCell ref="G16:G17"/>
    <mergeCell ref="H16:I17"/>
    <mergeCell ref="J16:K17"/>
    <mergeCell ref="L16:P17"/>
    <mergeCell ref="D24:D27"/>
    <mergeCell ref="E24:E25"/>
    <mergeCell ref="F24:F25"/>
    <mergeCell ref="G24:G25"/>
    <mergeCell ref="H24:I25"/>
    <mergeCell ref="J24:K25"/>
    <mergeCell ref="Q20:S21"/>
    <mergeCell ref="E22:E23"/>
    <mergeCell ref="F22:F23"/>
    <mergeCell ref="G22:G23"/>
    <mergeCell ref="H22:I23"/>
    <mergeCell ref="J22:K23"/>
    <mergeCell ref="L22:P23"/>
    <mergeCell ref="Q22:S23"/>
    <mergeCell ref="E20:E21"/>
    <mergeCell ref="F20:F21"/>
    <mergeCell ref="G20:G21"/>
    <mergeCell ref="H20:I21"/>
    <mergeCell ref="J20:K21"/>
    <mergeCell ref="L20:P21"/>
    <mergeCell ref="D8:D21"/>
    <mergeCell ref="L24:P25"/>
    <mergeCell ref="Q24:S25"/>
    <mergeCell ref="E26:E27"/>
    <mergeCell ref="F26:F27"/>
    <mergeCell ref="G26:G27"/>
    <mergeCell ref="H26:I27"/>
    <mergeCell ref="J26:K27"/>
    <mergeCell ref="L26:P27"/>
    <mergeCell ref="Q26:S27"/>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4:G54"/>
    <mergeCell ref="H54:S54"/>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4:G104"/>
    <mergeCell ref="H104:S104"/>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4:G154"/>
    <mergeCell ref="H154:S154"/>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4:G204"/>
    <mergeCell ref="H204:S204"/>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4:G254"/>
    <mergeCell ref="H254:S254"/>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4:G304"/>
    <mergeCell ref="H304:S304"/>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4:G354"/>
    <mergeCell ref="H354:S354"/>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4:G404"/>
    <mergeCell ref="H404:S404"/>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4:G454"/>
    <mergeCell ref="H454:S454"/>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4:G504"/>
    <mergeCell ref="H504:S504"/>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4:G554"/>
    <mergeCell ref="H554:S554"/>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4:G604"/>
    <mergeCell ref="H604:S604"/>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4:G654"/>
    <mergeCell ref="H654:S654"/>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4:G704"/>
    <mergeCell ref="H704:S704"/>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4:G754"/>
    <mergeCell ref="H754:S754"/>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2034" priority="64" stopIfTrue="1">
      <formula>IF(LEFT($A$7,2)="01",1,0)</formula>
    </cfRule>
    <cfRule type="expression" dxfId="2033" priority="69" stopIfTrue="1">
      <formula>IF(LEFT($A$7,2)="02",1,0)</formula>
    </cfRule>
    <cfRule type="expression" dxfId="2032" priority="70" stopIfTrue="1">
      <formula>IF(LEFT($A$7,2)="03",1,0)</formula>
    </cfRule>
    <cfRule type="expression" dxfId="2031" priority="71" stopIfTrue="1">
      <formula>IF(LEFT($A$7,2)="04",1,0)</formula>
    </cfRule>
    <cfRule type="expression" dxfId="2030" priority="72">
      <formula>IF(LEFT($A$7,2)="05",1,0)</formula>
    </cfRule>
  </conditionalFormatting>
  <conditionalFormatting sqref="D4:S4">
    <cfRule type="expression" dxfId="2029" priority="67">
      <formula>IF(LEFT($A$7,2)="04",1,0)</formula>
    </cfRule>
    <cfRule type="expression" dxfId="2028" priority="68">
      <formula>IF(LEFT($A$7,2)="05",1,0)</formula>
    </cfRule>
    <cfRule type="expression" dxfId="2027" priority="63">
      <formula>IF(LEFT($A$7,2)="01",1,0)</formula>
    </cfRule>
    <cfRule type="expression" dxfId="2026" priority="65">
      <formula>IF(LEFT($A$7,2)="02",1,0)</formula>
    </cfRule>
    <cfRule type="expression" dxfId="2025" priority="66">
      <formula>IF(LEFT($A$7,2)="03",1,0)</formula>
    </cfRule>
  </conditionalFormatting>
  <conditionalFormatting sqref="D54:S54">
    <cfRule type="expression" dxfId="2024" priority="301">
      <formula>IF(LEFT($A$7,2)="04",1,0)</formula>
    </cfRule>
    <cfRule type="expression" dxfId="2023" priority="300">
      <formula>IF(LEFT($A$7,2)="03",1,0)</formula>
    </cfRule>
    <cfRule type="expression" dxfId="2022" priority="299">
      <formula>IF(LEFT($A$7,2)="02",1,0)</formula>
    </cfRule>
    <cfRule type="expression" dxfId="2021" priority="298">
      <formula>IF(LEFT($A$7,2)="01",1,0)</formula>
    </cfRule>
    <cfRule type="expression" dxfId="2020" priority="302">
      <formula>IF(LEFT($A$7,2)="05",1,0)</formula>
    </cfRule>
  </conditionalFormatting>
  <conditionalFormatting sqref="D104:S104">
    <cfRule type="expression" dxfId="2019" priority="208">
      <formula>IF(LEFT($A$7,2)="01",1,0)</formula>
    </cfRule>
    <cfRule type="expression" dxfId="2018" priority="211">
      <formula>IF(LEFT($A$7,2)="04",1,0)</formula>
    </cfRule>
    <cfRule type="expression" dxfId="2017" priority="210">
      <formula>IF(LEFT($A$7,2)="03",1,0)</formula>
    </cfRule>
    <cfRule type="expression" dxfId="2016" priority="209">
      <formula>IF(LEFT($A$7,2)="02",1,0)</formula>
    </cfRule>
    <cfRule type="expression" dxfId="2015" priority="212">
      <formula>IF(LEFT($A$7,2)="05",1,0)</formula>
    </cfRule>
  </conditionalFormatting>
  <conditionalFormatting sqref="D154:S154">
    <cfRule type="expression" dxfId="2014" priority="205">
      <formula>IF(LEFT($A$7,2)="03",1,0)</formula>
    </cfRule>
    <cfRule type="expression" dxfId="2013" priority="203">
      <formula>IF(LEFT($A$7,2)="01",1,0)</formula>
    </cfRule>
    <cfRule type="expression" dxfId="2012" priority="207">
      <formula>IF(LEFT($A$7,2)="05",1,0)</formula>
    </cfRule>
    <cfRule type="expression" dxfId="2011" priority="206">
      <formula>IF(LEFT($A$7,2)="04",1,0)</formula>
    </cfRule>
    <cfRule type="expression" dxfId="2010" priority="204">
      <formula>IF(LEFT($A$7,2)="02",1,0)</formula>
    </cfRule>
  </conditionalFormatting>
  <conditionalFormatting sqref="D204:S204">
    <cfRule type="expression" dxfId="2009" priority="200">
      <formula>IF(LEFT($A$7,2)="03",1,0)</formula>
    </cfRule>
    <cfRule type="expression" dxfId="2008" priority="201">
      <formula>IF(LEFT($A$7,2)="04",1,0)</formula>
    </cfRule>
    <cfRule type="expression" dxfId="2007" priority="202">
      <formula>IF(LEFT($A$7,2)="05",1,0)</formula>
    </cfRule>
    <cfRule type="expression" dxfId="2006" priority="198">
      <formula>IF(LEFT($A$7,2)="01",1,0)</formula>
    </cfRule>
    <cfRule type="expression" dxfId="2005" priority="199">
      <formula>IF(LEFT($A$7,2)="02",1,0)</formula>
    </cfRule>
  </conditionalFormatting>
  <conditionalFormatting sqref="D254:S254">
    <cfRule type="expression" dxfId="2004" priority="194">
      <formula>IF(LEFT($A$7,2)="02",1,0)</formula>
    </cfRule>
    <cfRule type="expression" dxfId="2003" priority="197">
      <formula>IF(LEFT($A$7,2)="05",1,0)</formula>
    </cfRule>
    <cfRule type="expression" dxfId="2002" priority="196">
      <formula>IF(LEFT($A$7,2)="04",1,0)</formula>
    </cfRule>
    <cfRule type="expression" dxfId="2001" priority="195">
      <formula>IF(LEFT($A$7,2)="03",1,0)</formula>
    </cfRule>
    <cfRule type="expression" dxfId="2000" priority="193">
      <formula>IF(LEFT($A$7,2)="01",1,0)</formula>
    </cfRule>
  </conditionalFormatting>
  <conditionalFormatting sqref="D304:S304">
    <cfRule type="expression" dxfId="1999" priority="191">
      <formula>IF(LEFT($A$7,2)="04",1,0)</formula>
    </cfRule>
    <cfRule type="expression" dxfId="1998" priority="190">
      <formula>IF(LEFT($A$7,2)="03",1,0)</formula>
    </cfRule>
    <cfRule type="expression" dxfId="1997" priority="189">
      <formula>IF(LEFT($A$7,2)="02",1,0)</formula>
    </cfRule>
    <cfRule type="expression" dxfId="1996" priority="188">
      <formula>IF(LEFT($A$7,2)="01",1,0)</formula>
    </cfRule>
    <cfRule type="expression" dxfId="1995" priority="192">
      <formula>IF(LEFT($A$7,2)="05",1,0)</formula>
    </cfRule>
  </conditionalFormatting>
  <conditionalFormatting sqref="D354:S354">
    <cfRule type="expression" dxfId="1994" priority="186">
      <formula>IF(LEFT($A$7,2)="04",1,0)</formula>
    </cfRule>
    <cfRule type="expression" dxfId="1993" priority="187">
      <formula>IF(LEFT($A$7,2)="05",1,0)</formula>
    </cfRule>
    <cfRule type="expression" dxfId="1992" priority="185">
      <formula>IF(LEFT($A$7,2)="03",1,0)</formula>
    </cfRule>
    <cfRule type="expression" dxfId="1991" priority="184">
      <formula>IF(LEFT($A$7,2)="02",1,0)</formula>
    </cfRule>
    <cfRule type="expression" dxfId="1990" priority="183">
      <formula>IF(LEFT($A$7,2)="01",1,0)</formula>
    </cfRule>
  </conditionalFormatting>
  <conditionalFormatting sqref="D404:S404">
    <cfRule type="expression" dxfId="1989" priority="178">
      <formula>IF(LEFT($A$7,2)="01",1,0)</formula>
    </cfRule>
    <cfRule type="expression" dxfId="1988" priority="179">
      <formula>IF(LEFT($A$7,2)="02",1,0)</formula>
    </cfRule>
    <cfRule type="expression" dxfId="1987" priority="180">
      <formula>IF(LEFT($A$7,2)="03",1,0)</formula>
    </cfRule>
    <cfRule type="expression" dxfId="1986" priority="181">
      <formula>IF(LEFT($A$7,2)="04",1,0)</formula>
    </cfRule>
    <cfRule type="expression" dxfId="1985" priority="182">
      <formula>IF(LEFT($A$7,2)="05",1,0)</formula>
    </cfRule>
  </conditionalFormatting>
  <conditionalFormatting sqref="D454:S454">
    <cfRule type="expression" dxfId="1984" priority="174">
      <formula>IF(LEFT($A$7,2)="02",1,0)</formula>
    </cfRule>
    <cfRule type="expression" dxfId="1983" priority="175">
      <formula>IF(LEFT($A$7,2)="03",1,0)</formula>
    </cfRule>
    <cfRule type="expression" dxfId="1982" priority="176">
      <formula>IF(LEFT($A$7,2)="04",1,0)</formula>
    </cfRule>
    <cfRule type="expression" dxfId="1981" priority="177">
      <formula>IF(LEFT($A$7,2)="05",1,0)</formula>
    </cfRule>
    <cfRule type="expression" dxfId="1980" priority="173">
      <formula>IF(LEFT($A$7,2)="01",1,0)</formula>
    </cfRule>
  </conditionalFormatting>
  <conditionalFormatting sqref="D504:S504">
    <cfRule type="expression" dxfId="1979" priority="169">
      <formula>IF(LEFT($A$7,2)="02",1,0)</formula>
    </cfRule>
    <cfRule type="expression" dxfId="1978" priority="170">
      <formula>IF(LEFT($A$7,2)="03",1,0)</formula>
    </cfRule>
    <cfRule type="expression" dxfId="1977" priority="168">
      <formula>IF(LEFT($A$7,2)="01",1,0)</formula>
    </cfRule>
    <cfRule type="expression" dxfId="1976" priority="172">
      <formula>IF(LEFT($A$7,2)="05",1,0)</formula>
    </cfRule>
    <cfRule type="expression" dxfId="1975" priority="171">
      <formula>IF(LEFT($A$7,2)="04",1,0)</formula>
    </cfRule>
  </conditionalFormatting>
  <conditionalFormatting sqref="D554:S554">
    <cfRule type="expression" dxfId="1974" priority="167">
      <formula>IF(LEFT($A$7,2)="05",1,0)</formula>
    </cfRule>
    <cfRule type="expression" dxfId="1973" priority="166">
      <formula>IF(LEFT($A$7,2)="04",1,0)</formula>
    </cfRule>
    <cfRule type="expression" dxfId="1972" priority="165">
      <formula>IF(LEFT($A$7,2)="03",1,0)</formula>
    </cfRule>
    <cfRule type="expression" dxfId="1971" priority="164">
      <formula>IF(LEFT($A$7,2)="02",1,0)</formula>
    </cfRule>
    <cfRule type="expression" dxfId="1970" priority="163">
      <formula>IF(LEFT($A$7,2)="01",1,0)</formula>
    </cfRule>
  </conditionalFormatting>
  <conditionalFormatting sqref="D604:S604">
    <cfRule type="expression" dxfId="1969" priority="162">
      <formula>IF(LEFT($A$7,2)="05",1,0)</formula>
    </cfRule>
    <cfRule type="expression" dxfId="1968" priority="161">
      <formula>IF(LEFT($A$7,2)="04",1,0)</formula>
    </cfRule>
    <cfRule type="expression" dxfId="1967" priority="160">
      <formula>IF(LEFT($A$7,2)="03",1,0)</formula>
    </cfRule>
    <cfRule type="expression" dxfId="1966" priority="159">
      <formula>IF(LEFT($A$7,2)="02",1,0)</formula>
    </cfRule>
    <cfRule type="expression" dxfId="1965" priority="158">
      <formula>IF(LEFT($A$7,2)="01",1,0)</formula>
    </cfRule>
  </conditionalFormatting>
  <conditionalFormatting sqref="D654:S654">
    <cfRule type="expression" dxfId="1964" priority="154">
      <formula>IF(LEFT($A$7,2)="02",1,0)</formula>
    </cfRule>
    <cfRule type="expression" dxfId="1963" priority="157">
      <formula>IF(LEFT($A$7,2)="05",1,0)</formula>
    </cfRule>
    <cfRule type="expression" dxfId="1962" priority="155">
      <formula>IF(LEFT($A$7,2)="03",1,0)</formula>
    </cfRule>
    <cfRule type="expression" dxfId="1961" priority="153">
      <formula>IF(LEFT($A$7,2)="01",1,0)</formula>
    </cfRule>
    <cfRule type="expression" dxfId="1960" priority="156">
      <formula>IF(LEFT($A$7,2)="04",1,0)</formula>
    </cfRule>
  </conditionalFormatting>
  <conditionalFormatting sqref="D704:S704">
    <cfRule type="expression" dxfId="1959" priority="152">
      <formula>IF(LEFT($A$7,2)="05",1,0)</formula>
    </cfRule>
    <cfRule type="expression" dxfId="1958" priority="151">
      <formula>IF(LEFT($A$7,2)="04",1,0)</formula>
    </cfRule>
    <cfRule type="expression" dxfId="1957" priority="150">
      <formula>IF(LEFT($A$7,2)="03",1,0)</formula>
    </cfRule>
    <cfRule type="expression" dxfId="1956" priority="149">
      <formula>IF(LEFT($A$7,2)="02",1,0)</formula>
    </cfRule>
    <cfRule type="expression" dxfId="1955" priority="148">
      <formula>IF(LEFT($A$7,2)="01",1,0)</formula>
    </cfRule>
  </conditionalFormatting>
  <conditionalFormatting sqref="D754:S754">
    <cfRule type="expression" dxfId="1954" priority="147">
      <formula>IF(LEFT($A$7,2)="05",1,0)</formula>
    </cfRule>
    <cfRule type="expression" dxfId="1953" priority="145">
      <formula>IF(LEFT($A$7,2)="03",1,0)</formula>
    </cfRule>
    <cfRule type="expression" dxfId="1952" priority="144">
      <formula>IF(LEFT($A$7,2)="02",1,0)</formula>
    </cfRule>
    <cfRule type="expression" dxfId="1951" priority="143">
      <formula>IF(LEFT($A$7,2)="01",1,0)</formula>
    </cfRule>
    <cfRule type="expression" dxfId="1950" priority="146">
      <formula>IF(LEFT($A$7,2)="04",1,0)</formula>
    </cfRule>
  </conditionalFormatting>
  <conditionalFormatting sqref="G8">
    <cfRule type="cellIs" dxfId="1949" priority="94" operator="equal">
      <formula>"x"</formula>
    </cfRule>
    <cfRule type="cellIs" dxfId="1948" priority="87" operator="equal">
      <formula>2</formula>
    </cfRule>
    <cfRule type="cellIs" dxfId="1947" priority="88" operator="equal">
      <formula>3</formula>
    </cfRule>
    <cfRule type="cellIs" dxfId="1946" priority="89" operator="equal">
      <formula>4</formula>
    </cfRule>
    <cfRule type="cellIs" dxfId="1945" priority="90" operator="equal">
      <formula>5</formula>
    </cfRule>
    <cfRule type="cellIs" dxfId="1944" priority="91" operator="equal">
      <formula>6</formula>
    </cfRule>
    <cfRule type="cellIs" dxfId="1943" priority="92" operator="equal">
      <formula>7</formula>
    </cfRule>
    <cfRule type="cellIs" dxfId="1942" priority="95" operator="equal">
      <formula>1</formula>
    </cfRule>
    <cfRule type="cellIs" dxfId="1941" priority="96" operator="equal">
      <formula>2</formula>
    </cfRule>
    <cfRule type="cellIs" dxfId="1940" priority="97" operator="equal">
      <formula>3</formula>
    </cfRule>
    <cfRule type="cellIs" dxfId="1939" priority="98" operator="equal">
      <formula>4</formula>
    </cfRule>
    <cfRule type="cellIs" dxfId="1938" priority="99" operator="equal">
      <formula>5</formula>
    </cfRule>
    <cfRule type="cellIs" dxfId="1937" priority="100" operator="equal">
      <formula>6</formula>
    </cfRule>
  </conditionalFormatting>
  <conditionalFormatting sqref="G10">
    <cfRule type="cellIs" dxfId="1936" priority="48" operator="equal">
      <formula>7</formula>
    </cfRule>
    <cfRule type="cellIs" dxfId="1935" priority="43" operator="equal">
      <formula>2</formula>
    </cfRule>
    <cfRule type="cellIs" dxfId="1934" priority="44" operator="equal">
      <formula>3</formula>
    </cfRule>
    <cfRule type="cellIs" dxfId="1933" priority="45" operator="equal">
      <formula>4</formula>
    </cfRule>
    <cfRule type="cellIs" dxfId="1932" priority="46" operator="equal">
      <formula>5</formula>
    </cfRule>
    <cfRule type="cellIs" dxfId="1931" priority="47" operator="equal">
      <formula>6</formula>
    </cfRule>
    <cfRule type="cellIs" dxfId="1930" priority="50" operator="equal">
      <formula>"x"</formula>
    </cfRule>
    <cfRule type="cellIs" dxfId="1929" priority="52" operator="equal">
      <formula>2</formula>
    </cfRule>
    <cfRule type="cellIs" dxfId="1928" priority="53" operator="equal">
      <formula>3</formula>
    </cfRule>
    <cfRule type="cellIs" dxfId="1927" priority="54" operator="equal">
      <formula>4</formula>
    </cfRule>
    <cfRule type="cellIs" dxfId="1926" priority="55" operator="equal">
      <formula>5</formula>
    </cfRule>
    <cfRule type="cellIs" dxfId="1925" priority="56" operator="equal">
      <formula>6</formula>
    </cfRule>
    <cfRule type="cellIs" dxfId="1924" priority="51" operator="equal">
      <formula>1</formula>
    </cfRule>
  </conditionalFormatting>
  <conditionalFormatting sqref="G12 G14 G16 G18">
    <cfRule type="cellIs" dxfId="1923" priority="3" operator="equal">
      <formula>4</formula>
    </cfRule>
    <cfRule type="cellIs" dxfId="1922" priority="1" operator="equal">
      <formula>2</formula>
    </cfRule>
    <cfRule type="cellIs" dxfId="1921" priority="2" operator="equal">
      <formula>3</formula>
    </cfRule>
    <cfRule type="cellIs" dxfId="1920" priority="4" operator="equal">
      <formula>5</formula>
    </cfRule>
    <cfRule type="cellIs" dxfId="1919" priority="14" operator="equal">
      <formula>6</formula>
    </cfRule>
    <cfRule type="cellIs" dxfId="1918" priority="12" operator="equal">
      <formula>4</formula>
    </cfRule>
    <cfRule type="cellIs" dxfId="1917" priority="11" operator="equal">
      <formula>3</formula>
    </cfRule>
    <cfRule type="cellIs" dxfId="1916" priority="10" operator="equal">
      <formula>2</formula>
    </cfRule>
    <cfRule type="cellIs" dxfId="1915" priority="9" operator="equal">
      <formula>1</formula>
    </cfRule>
    <cfRule type="cellIs" dxfId="1914" priority="8" operator="equal">
      <formula>"x"</formula>
    </cfRule>
    <cfRule type="cellIs" dxfId="1913" priority="6" operator="equal">
      <formula>7</formula>
    </cfRule>
    <cfRule type="cellIs" dxfId="1912" priority="5" operator="equal">
      <formula>6</formula>
    </cfRule>
    <cfRule type="cellIs" dxfId="1911" priority="13" operator="equal">
      <formula>5</formula>
    </cfRule>
  </conditionalFormatting>
  <conditionalFormatting sqref="G20">
    <cfRule type="cellIs" dxfId="1910" priority="41" operator="equal">
      <formula>5</formula>
    </cfRule>
    <cfRule type="cellIs" dxfId="1909" priority="42" operator="equal">
      <formula>6</formula>
    </cfRule>
    <cfRule type="cellIs" dxfId="1908" priority="29" operator="equal">
      <formula>2</formula>
    </cfRule>
    <cfRule type="cellIs" dxfId="1907" priority="30" operator="equal">
      <formula>3</formula>
    </cfRule>
    <cfRule type="cellIs" dxfId="1906" priority="31" operator="equal">
      <formula>4</formula>
    </cfRule>
    <cfRule type="cellIs" dxfId="1905" priority="32" operator="equal">
      <formula>5</formula>
    </cfRule>
    <cfRule type="cellIs" dxfId="1904" priority="33" operator="equal">
      <formula>6</formula>
    </cfRule>
    <cfRule type="cellIs" dxfId="1903" priority="34" operator="equal">
      <formula>7</formula>
    </cfRule>
    <cfRule type="cellIs" dxfId="1902" priority="39" operator="equal">
      <formula>3</formula>
    </cfRule>
    <cfRule type="cellIs" dxfId="1901" priority="36" operator="equal">
      <formula>"x"</formula>
    </cfRule>
    <cfRule type="cellIs" dxfId="1900" priority="37" operator="equal">
      <formula>1</formula>
    </cfRule>
    <cfRule type="cellIs" dxfId="1899" priority="38" operator="equal">
      <formula>2</formula>
    </cfRule>
    <cfRule type="cellIs" dxfId="1898" priority="40" operator="equal">
      <formula>4</formula>
    </cfRule>
  </conditionalFormatting>
  <conditionalFormatting sqref="G22 G24">
    <cfRule type="cellIs" dxfId="1897" priority="23" operator="equal">
      <formula>1</formula>
    </cfRule>
    <cfRule type="cellIs" dxfId="1896" priority="15" operator="equal">
      <formula>2</formula>
    </cfRule>
    <cfRule type="cellIs" dxfId="1895" priority="16" operator="equal">
      <formula>3</formula>
    </cfRule>
    <cfRule type="cellIs" dxfId="1894" priority="17" operator="equal">
      <formula>4</formula>
    </cfRule>
    <cfRule type="cellIs" dxfId="1893" priority="18" operator="equal">
      <formula>5</formula>
    </cfRule>
    <cfRule type="cellIs" dxfId="1892" priority="19" operator="equal">
      <formula>6</formula>
    </cfRule>
    <cfRule type="cellIs" dxfId="1891" priority="20" operator="equal">
      <formula>7</formula>
    </cfRule>
    <cfRule type="cellIs" dxfId="1890" priority="22" operator="equal">
      <formula>"x"</formula>
    </cfRule>
    <cfRule type="cellIs" dxfId="1889" priority="24" operator="equal">
      <formula>2</formula>
    </cfRule>
    <cfRule type="cellIs" dxfId="1888" priority="25" operator="equal">
      <formula>3</formula>
    </cfRule>
    <cfRule type="cellIs" dxfId="1887" priority="26" operator="equal">
      <formula>4</formula>
    </cfRule>
    <cfRule type="cellIs" dxfId="1886" priority="27" operator="equal">
      <formula>5</formula>
    </cfRule>
    <cfRule type="cellIs" dxfId="1885" priority="28" operator="equal">
      <formula>6</formula>
    </cfRule>
  </conditionalFormatting>
  <conditionalFormatting sqref="G26 G28 G30 G32 G34 G36">
    <cfRule type="cellIs" dxfId="1884" priority="131" operator="equal">
      <formula>4</formula>
    </cfRule>
    <cfRule type="cellIs" dxfId="1883" priority="138" operator="equal">
      <formula>2</formula>
    </cfRule>
    <cfRule type="cellIs" dxfId="1882" priority="130" operator="equal">
      <formula>3</formula>
    </cfRule>
    <cfRule type="cellIs" dxfId="1881" priority="142" operator="equal">
      <formula>6</formula>
    </cfRule>
    <cfRule type="cellIs" dxfId="1880" priority="141" operator="equal">
      <formula>5</formula>
    </cfRule>
    <cfRule type="cellIs" dxfId="1879" priority="140" operator="equal">
      <formula>4</formula>
    </cfRule>
    <cfRule type="cellIs" dxfId="1878" priority="139" operator="equal">
      <formula>3</formula>
    </cfRule>
    <cfRule type="cellIs" dxfId="1877" priority="129" operator="equal">
      <formula>2</formula>
    </cfRule>
    <cfRule type="cellIs" dxfId="1876" priority="137" operator="equal">
      <formula>1</formula>
    </cfRule>
    <cfRule type="cellIs" dxfId="1875" priority="136" operator="equal">
      <formula>"x"</formula>
    </cfRule>
    <cfRule type="cellIs" dxfId="1874" priority="134" operator="equal">
      <formula>7</formula>
    </cfRule>
    <cfRule type="cellIs" dxfId="1873" priority="133" operator="equal">
      <formula>6</formula>
    </cfRule>
    <cfRule type="cellIs" dxfId="1872" priority="132" operator="equal">
      <formula>5</formula>
    </cfRule>
  </conditionalFormatting>
  <conditionalFormatting sqref="G38">
    <cfRule type="cellIs" dxfId="1871" priority="117" operator="equal">
      <formula>4</formula>
    </cfRule>
    <cfRule type="cellIs" dxfId="1870" priority="116" operator="equal">
      <formula>3</formula>
    </cfRule>
    <cfRule type="cellIs" dxfId="1869" priority="115" operator="equal">
      <formula>2</formula>
    </cfRule>
    <cfRule type="cellIs" dxfId="1868" priority="128" operator="equal">
      <formula>6</formula>
    </cfRule>
    <cfRule type="cellIs" dxfId="1867" priority="127" operator="equal">
      <formula>5</formula>
    </cfRule>
    <cfRule type="cellIs" dxfId="1866" priority="126" operator="equal">
      <formula>4</formula>
    </cfRule>
    <cfRule type="cellIs" dxfId="1865" priority="125" operator="equal">
      <formula>3</formula>
    </cfRule>
    <cfRule type="cellIs" dxfId="1864" priority="124" operator="equal">
      <formula>2</formula>
    </cfRule>
    <cfRule type="cellIs" dxfId="1863" priority="123" operator="equal">
      <formula>1</formula>
    </cfRule>
    <cfRule type="cellIs" dxfId="1862" priority="122" operator="equal">
      <formula>"x"</formula>
    </cfRule>
    <cfRule type="cellIs" dxfId="1861" priority="120" operator="equal">
      <formula>7</formula>
    </cfRule>
    <cfRule type="cellIs" dxfId="1860" priority="119" operator="equal">
      <formula>6</formula>
    </cfRule>
    <cfRule type="cellIs" dxfId="1859" priority="118" operator="equal">
      <formula>5</formula>
    </cfRule>
  </conditionalFormatting>
  <conditionalFormatting sqref="G8:H8 G26:H26 G28:H28 G30:H30 G32:H32 G34:H34 G36:H36 G38:H38">
    <cfRule type="cellIs" dxfId="1858" priority="58" operator="equal">
      <formula>1</formula>
    </cfRule>
  </conditionalFormatting>
  <conditionalFormatting sqref="G10:H10">
    <cfRule type="cellIs" dxfId="1857" priority="49" operator="equal">
      <formula>1</formula>
    </cfRule>
  </conditionalFormatting>
  <conditionalFormatting sqref="G12:H12 G14:H14 G16:H16 G18:H18">
    <cfRule type="cellIs" dxfId="1856" priority="7" operator="equal">
      <formula>1</formula>
    </cfRule>
  </conditionalFormatting>
  <conditionalFormatting sqref="G20:H20">
    <cfRule type="cellIs" dxfId="1855" priority="35" operator="equal">
      <formula>1</formula>
    </cfRule>
  </conditionalFormatting>
  <conditionalFormatting sqref="G22:H22 G24:H24">
    <cfRule type="cellIs" dxfId="1854" priority="21" operator="equal">
      <formula>1</formula>
    </cfRule>
  </conditionalFormatting>
  <conditionalFormatting sqref="H8 H10 H12 H14 H16 H18 H20 H22 H24 H26 H28 H30 H32 H34 H36 H38">
    <cfRule type="cellIs" dxfId="1853" priority="61" operator="equal">
      <formula>4</formula>
    </cfRule>
    <cfRule type="cellIs" dxfId="1852" priority="62" operator="equal">
      <formula>5</formula>
    </cfRule>
    <cfRule type="cellIs" dxfId="1851" priority="57" operator="equal">
      <formula>0</formula>
    </cfRule>
    <cfRule type="cellIs" dxfId="1850" priority="59" operator="equal">
      <formula>2</formula>
    </cfRule>
    <cfRule type="cellIs" dxfId="1849" priority="60" operator="equal">
      <formula>3</formula>
    </cfRule>
  </conditionalFormatting>
  <conditionalFormatting sqref="H60:S75">
    <cfRule type="cellIs" dxfId="1848" priority="297" operator="equal">
      <formula>0</formula>
    </cfRule>
    <cfRule type="cellIs" dxfId="1847" priority="307" operator="equal">
      <formula>5</formula>
    </cfRule>
    <cfRule type="cellIs" dxfId="1846" priority="306" operator="equal">
      <formula>4</formula>
    </cfRule>
    <cfRule type="cellIs" dxfId="1845" priority="305" operator="equal">
      <formula>3</formula>
    </cfRule>
    <cfRule type="cellIs" dxfId="1844" priority="304" operator="equal">
      <formula>2</formula>
    </cfRule>
    <cfRule type="cellIs" dxfId="1843" priority="303" operator="equal">
      <formula>1</formula>
    </cfRule>
  </conditionalFormatting>
  <conditionalFormatting sqref="H110:S125">
    <cfRule type="cellIs" dxfId="1842" priority="291" operator="equal">
      <formula>0</formula>
    </cfRule>
    <cfRule type="cellIs" dxfId="1841" priority="296" operator="equal">
      <formula>5</formula>
    </cfRule>
    <cfRule type="cellIs" dxfId="1840" priority="295" operator="equal">
      <formula>4</formula>
    </cfRule>
    <cfRule type="cellIs" dxfId="1839" priority="294" operator="equal">
      <formula>3</formula>
    </cfRule>
    <cfRule type="cellIs" dxfId="1838" priority="293" operator="equal">
      <formula>2</formula>
    </cfRule>
    <cfRule type="cellIs" dxfId="1837" priority="292" operator="equal">
      <formula>1</formula>
    </cfRule>
  </conditionalFormatting>
  <conditionalFormatting sqref="H160:S175">
    <cfRule type="cellIs" dxfId="1836" priority="290" operator="equal">
      <formula>5</formula>
    </cfRule>
    <cfRule type="cellIs" dxfId="1835" priority="289" operator="equal">
      <formula>4</formula>
    </cfRule>
    <cfRule type="cellIs" dxfId="1834" priority="288" operator="equal">
      <formula>3</formula>
    </cfRule>
    <cfRule type="cellIs" dxfId="1833" priority="286" operator="equal">
      <formula>1</formula>
    </cfRule>
    <cfRule type="cellIs" dxfId="1832" priority="285" operator="equal">
      <formula>0</formula>
    </cfRule>
    <cfRule type="cellIs" dxfId="1831" priority="287" operator="equal">
      <formula>2</formula>
    </cfRule>
  </conditionalFormatting>
  <conditionalFormatting sqref="H210:S225">
    <cfRule type="cellIs" dxfId="1830" priority="284" operator="equal">
      <formula>5</formula>
    </cfRule>
    <cfRule type="cellIs" dxfId="1829" priority="283" operator="equal">
      <formula>4</formula>
    </cfRule>
    <cfRule type="cellIs" dxfId="1828" priority="282" operator="equal">
      <formula>3</formula>
    </cfRule>
    <cfRule type="cellIs" dxfId="1827" priority="281" operator="equal">
      <formula>2</formula>
    </cfRule>
    <cfRule type="cellIs" dxfId="1826" priority="280" operator="equal">
      <formula>1</formula>
    </cfRule>
    <cfRule type="cellIs" dxfId="1825" priority="279" operator="equal">
      <formula>0</formula>
    </cfRule>
  </conditionalFormatting>
  <conditionalFormatting sqref="H260:S275">
    <cfRule type="cellIs" dxfId="1824" priority="274" operator="equal">
      <formula>1</formula>
    </cfRule>
    <cfRule type="cellIs" dxfId="1823" priority="273" operator="equal">
      <formula>0</formula>
    </cfRule>
    <cfRule type="cellIs" dxfId="1822" priority="278" operator="equal">
      <formula>5</formula>
    </cfRule>
    <cfRule type="cellIs" dxfId="1821" priority="277" operator="equal">
      <formula>4</formula>
    </cfRule>
    <cfRule type="cellIs" dxfId="1820" priority="276" operator="equal">
      <formula>3</formula>
    </cfRule>
    <cfRule type="cellIs" dxfId="1819" priority="275" operator="equal">
      <formula>2</formula>
    </cfRule>
  </conditionalFormatting>
  <conditionalFormatting sqref="H310:S325">
    <cfRule type="cellIs" dxfId="1818" priority="269" operator="equal">
      <formula>2</formula>
    </cfRule>
    <cfRule type="cellIs" dxfId="1817" priority="270" operator="equal">
      <formula>3</formula>
    </cfRule>
    <cfRule type="cellIs" dxfId="1816" priority="271" operator="equal">
      <formula>4</formula>
    </cfRule>
    <cfRule type="cellIs" dxfId="1815" priority="272" operator="equal">
      <formula>5</formula>
    </cfRule>
    <cfRule type="cellIs" dxfId="1814" priority="267" operator="equal">
      <formula>0</formula>
    </cfRule>
    <cfRule type="cellIs" dxfId="1813" priority="268" operator="equal">
      <formula>1</formula>
    </cfRule>
  </conditionalFormatting>
  <conditionalFormatting sqref="H360:S375">
    <cfRule type="cellIs" dxfId="1812" priority="266" operator="equal">
      <formula>5</formula>
    </cfRule>
    <cfRule type="cellIs" dxfId="1811" priority="265" operator="equal">
      <formula>4</formula>
    </cfRule>
    <cfRule type="cellIs" dxfId="1810" priority="264" operator="equal">
      <formula>3</formula>
    </cfRule>
    <cfRule type="cellIs" dxfId="1809" priority="263" operator="equal">
      <formula>2</formula>
    </cfRule>
    <cfRule type="cellIs" dxfId="1808" priority="261" operator="equal">
      <formula>0</formula>
    </cfRule>
    <cfRule type="cellIs" dxfId="1807" priority="262" operator="equal">
      <formula>1</formula>
    </cfRule>
  </conditionalFormatting>
  <conditionalFormatting sqref="H410:S425">
    <cfRule type="cellIs" dxfId="1806" priority="257" operator="equal">
      <formula>2</formula>
    </cfRule>
    <cfRule type="cellIs" dxfId="1805" priority="260" operator="equal">
      <formula>5</formula>
    </cfRule>
    <cfRule type="cellIs" dxfId="1804" priority="259" operator="equal">
      <formula>4</formula>
    </cfRule>
    <cfRule type="cellIs" dxfId="1803" priority="258" operator="equal">
      <formula>3</formula>
    </cfRule>
    <cfRule type="cellIs" dxfId="1802" priority="256" operator="equal">
      <formula>1</formula>
    </cfRule>
    <cfRule type="cellIs" dxfId="1801" priority="255" operator="equal">
      <formula>0</formula>
    </cfRule>
  </conditionalFormatting>
  <conditionalFormatting sqref="H460:S475">
    <cfRule type="cellIs" dxfId="1800" priority="250" operator="equal">
      <formula>1</formula>
    </cfRule>
    <cfRule type="cellIs" dxfId="1799" priority="254" operator="equal">
      <formula>5</formula>
    </cfRule>
    <cfRule type="cellIs" dxfId="1798" priority="253" operator="equal">
      <formula>4</formula>
    </cfRule>
    <cfRule type="cellIs" dxfId="1797" priority="251" operator="equal">
      <formula>2</formula>
    </cfRule>
    <cfRule type="cellIs" dxfId="1796" priority="252" operator="equal">
      <formula>3</formula>
    </cfRule>
    <cfRule type="cellIs" dxfId="1795" priority="249" operator="equal">
      <formula>0</formula>
    </cfRule>
  </conditionalFormatting>
  <conditionalFormatting sqref="H510:S525">
    <cfRule type="cellIs" dxfId="1794" priority="244" operator="equal">
      <formula>1</formula>
    </cfRule>
    <cfRule type="cellIs" dxfId="1793" priority="243" operator="equal">
      <formula>0</formula>
    </cfRule>
    <cfRule type="cellIs" dxfId="1792" priority="245" operator="equal">
      <formula>2</formula>
    </cfRule>
    <cfRule type="cellIs" dxfId="1791" priority="246" operator="equal">
      <formula>3</formula>
    </cfRule>
    <cfRule type="cellIs" dxfId="1790" priority="248" operator="equal">
      <formula>5</formula>
    </cfRule>
    <cfRule type="cellIs" dxfId="1789" priority="247" operator="equal">
      <formula>4</formula>
    </cfRule>
  </conditionalFormatting>
  <conditionalFormatting sqref="H560:S575">
    <cfRule type="cellIs" dxfId="1788" priority="241" operator="equal">
      <formula>4</formula>
    </cfRule>
    <cfRule type="cellIs" dxfId="1787" priority="242" operator="equal">
      <formula>5</formula>
    </cfRule>
    <cfRule type="cellIs" dxfId="1786" priority="240" operator="equal">
      <formula>3</formula>
    </cfRule>
    <cfRule type="cellIs" dxfId="1785" priority="239" operator="equal">
      <formula>2</formula>
    </cfRule>
    <cfRule type="cellIs" dxfId="1784" priority="238" operator="equal">
      <formula>1</formula>
    </cfRule>
    <cfRule type="cellIs" dxfId="1783" priority="237" operator="equal">
      <formula>0</formula>
    </cfRule>
  </conditionalFormatting>
  <conditionalFormatting sqref="H610:S625">
    <cfRule type="cellIs" dxfId="1782" priority="236" operator="equal">
      <formula>5</formula>
    </cfRule>
    <cfRule type="cellIs" dxfId="1781" priority="235" operator="equal">
      <formula>4</formula>
    </cfRule>
    <cfRule type="cellIs" dxfId="1780" priority="234" operator="equal">
      <formula>3</formula>
    </cfRule>
    <cfRule type="cellIs" dxfId="1779" priority="233" operator="equal">
      <formula>2</formula>
    </cfRule>
    <cfRule type="cellIs" dxfId="1778" priority="232" operator="equal">
      <formula>1</formula>
    </cfRule>
    <cfRule type="cellIs" dxfId="1777" priority="231" operator="equal">
      <formula>0</formula>
    </cfRule>
  </conditionalFormatting>
  <conditionalFormatting sqref="H660:S675">
    <cfRule type="cellIs" dxfId="1776" priority="229" operator="equal">
      <formula>4</formula>
    </cfRule>
    <cfRule type="cellIs" dxfId="1775" priority="225" operator="equal">
      <formula>0</formula>
    </cfRule>
    <cfRule type="cellIs" dxfId="1774" priority="230" operator="equal">
      <formula>5</formula>
    </cfRule>
    <cfRule type="cellIs" dxfId="1773" priority="227" operator="equal">
      <formula>2</formula>
    </cfRule>
    <cfRule type="cellIs" dxfId="1772" priority="228" operator="equal">
      <formula>3</formula>
    </cfRule>
    <cfRule type="cellIs" dxfId="1771" priority="226" operator="equal">
      <formula>1</formula>
    </cfRule>
  </conditionalFormatting>
  <conditionalFormatting sqref="H710:S725">
    <cfRule type="cellIs" dxfId="1770" priority="221" operator="equal">
      <formula>2</formula>
    </cfRule>
    <cfRule type="cellIs" dxfId="1769" priority="220" operator="equal">
      <formula>1</formula>
    </cfRule>
    <cfRule type="cellIs" dxfId="1768" priority="219" operator="equal">
      <formula>0</formula>
    </cfRule>
    <cfRule type="cellIs" dxfId="1767" priority="223" operator="equal">
      <formula>4</formula>
    </cfRule>
    <cfRule type="cellIs" dxfId="1766" priority="222" operator="equal">
      <formula>3</formula>
    </cfRule>
    <cfRule type="cellIs" dxfId="1765" priority="224" operator="equal">
      <formula>5</formula>
    </cfRule>
  </conditionalFormatting>
  <conditionalFormatting sqref="H760:S775">
    <cfRule type="cellIs" dxfId="1764" priority="214" operator="equal">
      <formula>1</formula>
    </cfRule>
    <cfRule type="cellIs" dxfId="1763" priority="213" operator="equal">
      <formula>0</formula>
    </cfRule>
    <cfRule type="cellIs" dxfId="1762" priority="218" operator="equal">
      <formula>5</formula>
    </cfRule>
    <cfRule type="cellIs" dxfId="1761" priority="217" operator="equal">
      <formula>4</formula>
    </cfRule>
    <cfRule type="cellIs" dxfId="1760" priority="216" operator="equal">
      <formula>3</formula>
    </cfRule>
    <cfRule type="cellIs" dxfId="1759" priority="215" operator="equal">
      <formula>2</formula>
    </cfRule>
  </conditionalFormatting>
  <conditionalFormatting sqref="J8">
    <cfRule type="cellIs" dxfId="1758" priority="79" operator="equal">
      <formula>1</formula>
    </cfRule>
    <cfRule type="cellIs" dxfId="1757" priority="84" operator="equal">
      <formula>4</formula>
    </cfRule>
    <cfRule type="cellIs" dxfId="1756" priority="73" operator="equal">
      <formula>2</formula>
    </cfRule>
    <cfRule type="cellIs" dxfId="1755" priority="74" operator="equal">
      <formula>3</formula>
    </cfRule>
    <cfRule type="cellIs" dxfId="1754" priority="75" operator="equal">
      <formula>4</formula>
    </cfRule>
    <cfRule type="cellIs" dxfId="1753" priority="76" operator="equal">
      <formula>5</formula>
    </cfRule>
    <cfRule type="cellIs" dxfId="1752" priority="77" operator="equal">
      <formula>6</formula>
    </cfRule>
    <cfRule type="cellIs" dxfId="1751" priority="85" operator="equal">
      <formula>5</formula>
    </cfRule>
    <cfRule type="cellIs" dxfId="1750" priority="78" operator="equal">
      <formula>7</formula>
    </cfRule>
    <cfRule type="cellIs" dxfId="1749" priority="86" operator="equal">
      <formula>6</formula>
    </cfRule>
    <cfRule type="cellIs" dxfId="1748" priority="80" operator="equal">
      <formula>"x"</formula>
    </cfRule>
    <cfRule type="cellIs" dxfId="1747" priority="81" operator="equal">
      <formula>1</formula>
    </cfRule>
    <cfRule type="cellIs" dxfId="1746" priority="82" operator="equal">
      <formula>2</formula>
    </cfRule>
    <cfRule type="cellIs" dxfId="1745" priority="83" operator="equal">
      <formula>3</formula>
    </cfRule>
  </conditionalFormatting>
  <conditionalFormatting sqref="J10 J12 J14 J16 J18 J20 J22 J24 J26 J28 J30 J32 J34 J36 J38">
    <cfRule type="cellIs" dxfId="1744" priority="111" operator="equal">
      <formula>3</formula>
    </cfRule>
    <cfRule type="cellIs" dxfId="1743" priority="112" operator="equal">
      <formula>4</formula>
    </cfRule>
    <cfRule type="cellIs" dxfId="1742" priority="113" operator="equal">
      <formula>5</formula>
    </cfRule>
    <cfRule type="cellIs" dxfId="1741" priority="114" operator="equal">
      <formula>6</formula>
    </cfRule>
    <cfRule type="cellIs" dxfId="1740" priority="102" operator="equal">
      <formula>3</formula>
    </cfRule>
    <cfRule type="cellIs" dxfId="1739" priority="103" operator="equal">
      <formula>4</formula>
    </cfRule>
    <cfRule type="cellIs" dxfId="1738" priority="104" operator="equal">
      <formula>5</formula>
    </cfRule>
    <cfRule type="cellIs" dxfId="1737" priority="105" operator="equal">
      <formula>6</formula>
    </cfRule>
    <cfRule type="cellIs" dxfId="1736" priority="106" operator="equal">
      <formula>7</formula>
    </cfRule>
    <cfRule type="cellIs" dxfId="1735" priority="107" operator="equal">
      <formula>1</formula>
    </cfRule>
    <cfRule type="cellIs" dxfId="1734" priority="108" operator="equal">
      <formula>"x"</formula>
    </cfRule>
    <cfRule type="cellIs" dxfId="1733" priority="109" operator="equal">
      <formula>1</formula>
    </cfRule>
    <cfRule type="cellIs" dxfId="1732" priority="110" operator="equal">
      <formula>2</formula>
    </cfRule>
    <cfRule type="cellIs" dxfId="1731" priority="101" operator="equal">
      <formula>2</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0F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F00-000001000000}">
          <x14:formula1>
            <xm:f>LEGENDA!$B$5:$B$10</xm:f>
          </x14:formula1>
          <xm:sqref>H8:I9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7">
    <tabColor rgb="FFFFFF0D"/>
    <pageSetUpPr fitToPage="1"/>
  </sheetPr>
  <dimension ref="A1:AO790"/>
  <sheetViews>
    <sheetView topLeftCell="C1" zoomScale="80" zoomScaleNormal="80" zoomScalePageLayoutView="80" workbookViewId="0">
      <pane ySplit="2" topLeftCell="A3" activePane="bottomLeft" state="frozen"/>
      <selection activeCell="B8" sqref="B8"/>
      <selection pane="bottomLeft" activeCell="H8" sqref="H8:I9"/>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
        <v>122</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c r="M4" s="383"/>
      <c r="N4" s="383"/>
      <c r="O4" s="384"/>
      <c r="P4" s="382"/>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7.75" customHeight="1" thickBot="1" x14ac:dyDescent="0.6">
      <c r="A6" s="31">
        <v>4</v>
      </c>
      <c r="B6" s="17"/>
      <c r="C6"/>
      <c r="D6" s="466" t="e">
        <f ca="1">OFFSET(#REF!,9,A9)</f>
        <v>#REF!</v>
      </c>
      <c r="E6" s="467"/>
      <c r="F6" s="467"/>
      <c r="G6" s="467"/>
      <c r="H6" s="467"/>
      <c r="I6" s="467"/>
      <c r="J6" s="467"/>
      <c r="K6" s="467"/>
      <c r="L6" s="467"/>
      <c r="M6" s="467"/>
      <c r="N6" s="467"/>
      <c r="O6" s="467"/>
      <c r="P6" s="467"/>
      <c r="Q6" s="467"/>
      <c r="R6" s="467"/>
      <c r="S6" s="468"/>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469"/>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482" t="e">
        <f ca="1">LEFT(L2,5)</f>
        <v>#NAME?</v>
      </c>
      <c r="F8" s="484"/>
      <c r="G8" s="357" t="e">
        <f ca="1">H4</f>
        <v>#REF!</v>
      </c>
      <c r="H8" s="359">
        <v>1</v>
      </c>
      <c r="I8" s="360"/>
      <c r="J8" s="486"/>
      <c r="K8" s="487"/>
      <c r="L8" s="365"/>
      <c r="M8" s="366"/>
      <c r="N8" s="366"/>
      <c r="O8" s="366"/>
      <c r="P8" s="367"/>
      <c r="Q8" s="490"/>
      <c r="R8" s="491"/>
      <c r="S8" s="492"/>
      <c r="T8" s="5"/>
      <c r="U8" s="287" t="s">
        <v>18</v>
      </c>
      <c r="V8" s="288"/>
    </row>
    <row r="9" spans="1:22" ht="15.75" customHeight="1" thickBot="1" x14ac:dyDescent="0.4">
      <c r="A9" s="59" t="e">
        <f ca="1">(VALUE(LEFT(SheetName($A$1),1))-1)*$A$6</f>
        <v>#NAME?</v>
      </c>
      <c r="B9" s="17"/>
      <c r="C9"/>
      <c r="D9" s="376"/>
      <c r="E9" s="483"/>
      <c r="F9" s="485"/>
      <c r="G9" s="358"/>
      <c r="H9" s="361"/>
      <c r="I9" s="362"/>
      <c r="J9" s="488"/>
      <c r="K9" s="489"/>
      <c r="L9" s="368"/>
      <c r="M9" s="369"/>
      <c r="N9" s="369"/>
      <c r="O9" s="369"/>
      <c r="P9" s="370"/>
      <c r="Q9" s="493"/>
      <c r="R9" s="494"/>
      <c r="S9" s="495"/>
      <c r="T9" s="5"/>
      <c r="U9" s="289"/>
      <c r="V9" s="290"/>
    </row>
    <row r="10" spans="1:22" ht="15.75" customHeight="1" x14ac:dyDescent="0.35">
      <c r="A10" s="16"/>
      <c r="B10" s="16"/>
      <c r="C10"/>
      <c r="D10" s="376"/>
      <c r="E10" s="470" t="e">
        <f ca="1">HYPERLINK("#B"&amp;TEXT($A$3+$A$4*((ROW()-$A$5)/2),"##"),LEFT($L$2,5)&amp;"."&amp;TEXT((ROW()-$A$5)/2,"0#"))</f>
        <v>#NAME?</v>
      </c>
      <c r="F10" s="471"/>
      <c r="G10" s="307"/>
      <c r="H10" s="472"/>
      <c r="I10" s="473"/>
      <c r="J10" s="474"/>
      <c r="K10" s="475"/>
      <c r="L10" s="476"/>
      <c r="M10" s="477"/>
      <c r="N10" s="477"/>
      <c r="O10" s="477"/>
      <c r="P10" s="478"/>
      <c r="Q10" s="452"/>
      <c r="R10" s="453"/>
      <c r="S10" s="454"/>
      <c r="T10" s="5"/>
      <c r="U10" s="199">
        <v>0</v>
      </c>
      <c r="V10" s="200" t="s">
        <v>21</v>
      </c>
    </row>
    <row r="11" spans="1:22" ht="15.75" customHeight="1" x14ac:dyDescent="0.35">
      <c r="A11" s="16"/>
      <c r="B11" s="16"/>
      <c r="C11"/>
      <c r="D11" s="376"/>
      <c r="E11" s="439"/>
      <c r="F11" s="343"/>
      <c r="G11" s="308"/>
      <c r="H11" s="302"/>
      <c r="I11" s="303"/>
      <c r="J11" s="413"/>
      <c r="K11" s="414"/>
      <c r="L11" s="479"/>
      <c r="M11" s="480"/>
      <c r="N11" s="480"/>
      <c r="O11" s="480"/>
      <c r="P11" s="481"/>
      <c r="Q11" s="455"/>
      <c r="R11" s="456"/>
      <c r="S11" s="457"/>
      <c r="T11" s="5"/>
      <c r="U11" s="33">
        <v>1</v>
      </c>
      <c r="V11" s="201" t="s">
        <v>22</v>
      </c>
    </row>
    <row r="12" spans="1:22" ht="15.75" customHeight="1" x14ac:dyDescent="0.35">
      <c r="A12" s="28"/>
      <c r="B12" s="16"/>
      <c r="C12"/>
      <c r="D12" s="376"/>
      <c r="E12" s="428" t="e">
        <f ca="1">HYPERLINK("#B"&amp;TEXT($A$3+$A$4*((ROW()-$A$5)/2),"##"),LEFT($L$2,5)&amp;"."&amp;TEXT((ROW()-$A$5)/2,"0#"))</f>
        <v>#NAME?</v>
      </c>
      <c r="F12" s="415"/>
      <c r="G12" s="307"/>
      <c r="H12" s="300"/>
      <c r="I12" s="301"/>
      <c r="J12" s="411"/>
      <c r="K12" s="412"/>
      <c r="L12" s="446"/>
      <c r="M12" s="447"/>
      <c r="N12" s="447"/>
      <c r="O12" s="447"/>
      <c r="P12" s="448"/>
      <c r="Q12" s="452"/>
      <c r="R12" s="453"/>
      <c r="S12" s="454"/>
      <c r="T12" s="5"/>
      <c r="U12" s="41">
        <v>2</v>
      </c>
      <c r="V12" s="202" t="s">
        <v>25</v>
      </c>
    </row>
    <row r="13" spans="1:22" ht="15.75" customHeight="1" x14ac:dyDescent="0.35">
      <c r="A13" s="28"/>
      <c r="B13" s="16"/>
      <c r="C13"/>
      <c r="D13" s="376"/>
      <c r="E13" s="439"/>
      <c r="F13" s="343"/>
      <c r="G13" s="308"/>
      <c r="H13" s="302"/>
      <c r="I13" s="303"/>
      <c r="J13" s="413"/>
      <c r="K13" s="414"/>
      <c r="L13" s="449"/>
      <c r="M13" s="450"/>
      <c r="N13" s="450"/>
      <c r="O13" s="450"/>
      <c r="P13" s="451"/>
      <c r="Q13" s="455"/>
      <c r="R13" s="456"/>
      <c r="S13" s="457"/>
      <c r="T13" s="5"/>
      <c r="U13" s="38">
        <v>3</v>
      </c>
      <c r="V13" s="203" t="s">
        <v>26</v>
      </c>
    </row>
    <row r="14" spans="1:22" ht="15.75" customHeight="1" x14ac:dyDescent="0.35">
      <c r="A14" s="28"/>
      <c r="B14" s="16"/>
      <c r="C14"/>
      <c r="D14" s="376"/>
      <c r="E14" s="428" t="e">
        <f ca="1">HYPERLINK("#B"&amp;TEXT($A$3+$A$4*((ROW()-$A$5)/2),"##"),LEFT($L$2,5)&amp;"."&amp;TEXT((ROW()-$A$5)/2,"0#"))</f>
        <v>#NAME?</v>
      </c>
      <c r="F14" s="464"/>
      <c r="G14" s="307"/>
      <c r="H14" s="300"/>
      <c r="I14" s="301"/>
      <c r="J14" s="411"/>
      <c r="K14" s="412"/>
      <c r="L14" s="458"/>
      <c r="M14" s="459"/>
      <c r="N14" s="459"/>
      <c r="O14" s="459"/>
      <c r="P14" s="460"/>
      <c r="Q14" s="452"/>
      <c r="R14" s="453"/>
      <c r="S14" s="454"/>
      <c r="T14" s="5"/>
      <c r="U14" s="35">
        <v>4</v>
      </c>
      <c r="V14" s="204" t="s">
        <v>29</v>
      </c>
    </row>
    <row r="15" spans="1:22" ht="15.75" customHeight="1" thickBot="1" x14ac:dyDescent="0.4">
      <c r="A15" s="28"/>
      <c r="B15" s="16"/>
      <c r="C15"/>
      <c r="D15" s="376"/>
      <c r="E15" s="439"/>
      <c r="F15" s="465"/>
      <c r="G15" s="308"/>
      <c r="H15" s="302"/>
      <c r="I15" s="303"/>
      <c r="J15" s="413"/>
      <c r="K15" s="414"/>
      <c r="L15" s="461"/>
      <c r="M15" s="462"/>
      <c r="N15" s="462"/>
      <c r="O15" s="462"/>
      <c r="P15" s="463"/>
      <c r="Q15" s="455"/>
      <c r="R15" s="456"/>
      <c r="S15" s="457"/>
      <c r="T15" s="5"/>
      <c r="U15" s="46">
        <v>5</v>
      </c>
      <c r="V15" s="60" t="s">
        <v>30</v>
      </c>
    </row>
    <row r="16" spans="1:22" ht="15.75" customHeight="1" x14ac:dyDescent="0.35">
      <c r="A16" s="28"/>
      <c r="B16" s="16"/>
      <c r="C16"/>
      <c r="D16" s="376"/>
      <c r="E16" s="428" t="e">
        <f ca="1">HYPERLINK("#B"&amp;TEXT($A$3+$A$4*((ROW()-$A$5)/2),"##"),LEFT($L$2,5)&amp;"."&amp;TEXT((ROW()-$A$5)/2,"0#"))</f>
        <v>#NAME?</v>
      </c>
      <c r="F16" s="415"/>
      <c r="G16" s="307"/>
      <c r="H16" s="300"/>
      <c r="I16" s="301"/>
      <c r="J16" s="411"/>
      <c r="K16" s="412"/>
      <c r="L16" s="458"/>
      <c r="M16" s="459"/>
      <c r="N16" s="459"/>
      <c r="O16" s="459"/>
      <c r="P16" s="460"/>
      <c r="Q16" s="452"/>
      <c r="R16" s="453"/>
      <c r="S16" s="454"/>
      <c r="T16" s="5"/>
      <c r="U16" s="5"/>
      <c r="V16" s="5"/>
    </row>
    <row r="17" spans="4:19" ht="15.75" customHeight="1" x14ac:dyDescent="0.35">
      <c r="D17" s="376"/>
      <c r="E17" s="439"/>
      <c r="F17" s="343"/>
      <c r="G17" s="308"/>
      <c r="H17" s="302"/>
      <c r="I17" s="303"/>
      <c r="J17" s="413"/>
      <c r="K17" s="414"/>
      <c r="L17" s="461"/>
      <c r="M17" s="462"/>
      <c r="N17" s="462"/>
      <c r="O17" s="462"/>
      <c r="P17" s="463"/>
      <c r="Q17" s="455"/>
      <c r="R17" s="456"/>
      <c r="S17" s="457"/>
    </row>
    <row r="18" spans="4:19" ht="15.75" customHeight="1" x14ac:dyDescent="0.35">
      <c r="D18" s="376"/>
      <c r="E18" s="428" t="e">
        <f ca="1">HYPERLINK("#B"&amp;TEXT($A$3+$A$4*((ROW()-$A$5)/2),"##"),LEFT($L$2,5)&amp;"."&amp;TEXT((ROW()-$A$5)/2,"0#"))</f>
        <v>#NAME?</v>
      </c>
      <c r="F18" s="415"/>
      <c r="G18" s="307"/>
      <c r="H18" s="300"/>
      <c r="I18" s="301"/>
      <c r="J18" s="411"/>
      <c r="K18" s="412"/>
      <c r="L18" s="416"/>
      <c r="M18" s="417"/>
      <c r="N18" s="417"/>
      <c r="O18" s="417"/>
      <c r="P18" s="418"/>
      <c r="Q18" s="452"/>
      <c r="R18" s="453"/>
      <c r="S18" s="454"/>
    </row>
    <row r="19" spans="4:19" ht="15.75" customHeight="1" x14ac:dyDescent="0.35">
      <c r="D19" s="376"/>
      <c r="E19" s="439"/>
      <c r="F19" s="343"/>
      <c r="G19" s="308"/>
      <c r="H19" s="302"/>
      <c r="I19" s="303"/>
      <c r="J19" s="413"/>
      <c r="K19" s="414"/>
      <c r="L19" s="419"/>
      <c r="M19" s="420"/>
      <c r="N19" s="420"/>
      <c r="O19" s="420"/>
      <c r="P19" s="421"/>
      <c r="Q19" s="455"/>
      <c r="R19" s="456"/>
      <c r="S19" s="457"/>
    </row>
    <row r="20" spans="4:19" ht="15.75" customHeight="1" x14ac:dyDescent="0.35">
      <c r="D20" s="376"/>
      <c r="E20" s="428" t="e">
        <f ca="1">HYPERLINK("#B"&amp;TEXT($A$3+$A$4*((ROW()-$A$5)/2),"##"),LEFT($L$2,5)&amp;"."&amp;TEXT((ROW()-$A$5)/2,"0#"))</f>
        <v>#NAME?</v>
      </c>
      <c r="F20" s="415"/>
      <c r="G20" s="307"/>
      <c r="H20" s="300"/>
      <c r="I20" s="301"/>
      <c r="J20" s="411"/>
      <c r="K20" s="412"/>
      <c r="L20" s="440"/>
      <c r="M20" s="441"/>
      <c r="N20" s="441"/>
      <c r="O20" s="441"/>
      <c r="P20" s="442"/>
      <c r="Q20" s="452"/>
      <c r="R20" s="453"/>
      <c r="S20" s="454"/>
    </row>
    <row r="21" spans="4:19" ht="15.75" customHeight="1" thickBot="1" x14ac:dyDescent="0.4">
      <c r="D21" s="377"/>
      <c r="E21" s="439"/>
      <c r="F21" s="343"/>
      <c r="G21" s="308"/>
      <c r="H21" s="302"/>
      <c r="I21" s="303"/>
      <c r="J21" s="413"/>
      <c r="K21" s="414"/>
      <c r="L21" s="443"/>
      <c r="M21" s="444"/>
      <c r="N21" s="444"/>
      <c r="O21" s="444"/>
      <c r="P21" s="445"/>
      <c r="Q21" s="455"/>
      <c r="R21" s="456"/>
      <c r="S21" s="457"/>
    </row>
    <row r="22" spans="4:19" ht="15.75" customHeight="1" x14ac:dyDescent="0.35">
      <c r="D22" s="15" t="s">
        <v>37</v>
      </c>
      <c r="E22" s="428" t="e">
        <f ca="1">HYPERLINK("#B"&amp;TEXT($A$3+$A$4*((ROW()-$A$5)/2),"##"),LEFT($L$2,5)&amp;"."&amp;TEXT((ROW()-$A$5)/2,"0#"))</f>
        <v>#NAME?</v>
      </c>
      <c r="F22" s="415"/>
      <c r="G22" s="307"/>
      <c r="H22" s="300"/>
      <c r="I22" s="301"/>
      <c r="J22" s="411"/>
      <c r="K22" s="412"/>
      <c r="L22" s="416"/>
      <c r="M22" s="417"/>
      <c r="N22" s="417"/>
      <c r="O22" s="417"/>
      <c r="P22" s="418"/>
      <c r="Q22" s="422"/>
      <c r="R22" s="423"/>
      <c r="S22" s="424"/>
    </row>
    <row r="23" spans="4:19" ht="15.75" customHeight="1" thickBot="1" x14ac:dyDescent="0.4">
      <c r="D23" s="15" t="s">
        <v>40</v>
      </c>
      <c r="E23" s="439"/>
      <c r="F23" s="343"/>
      <c r="G23" s="308"/>
      <c r="H23" s="302"/>
      <c r="I23" s="303"/>
      <c r="J23" s="413"/>
      <c r="K23" s="414"/>
      <c r="L23" s="419"/>
      <c r="M23" s="420"/>
      <c r="N23" s="420"/>
      <c r="O23" s="420"/>
      <c r="P23" s="421"/>
      <c r="Q23" s="425"/>
      <c r="R23" s="426"/>
      <c r="S23" s="427"/>
    </row>
    <row r="24" spans="4:19" ht="15.75" customHeight="1" x14ac:dyDescent="0.35">
      <c r="D24" s="322" t="s">
        <v>142</v>
      </c>
      <c r="E24" s="428" t="e">
        <f ca="1">HYPERLINK("#B"&amp;TEXT($A$3+$A$4*((ROW()-$A$5)/2),"##"),LEFT($L$2,5)&amp;"."&amp;TEXT((ROW()-$A$5)/2,"0#"))</f>
        <v>#NAME?</v>
      </c>
      <c r="F24" s="415"/>
      <c r="G24" s="307"/>
      <c r="H24" s="300"/>
      <c r="I24" s="301"/>
      <c r="J24" s="411"/>
      <c r="K24" s="412"/>
      <c r="L24" s="416"/>
      <c r="M24" s="417"/>
      <c r="N24" s="417"/>
      <c r="O24" s="417"/>
      <c r="P24" s="418"/>
      <c r="Q24" s="422"/>
      <c r="R24" s="423"/>
      <c r="S24" s="424"/>
    </row>
    <row r="25" spans="4:19" ht="15.75" customHeight="1" x14ac:dyDescent="0.35">
      <c r="D25" s="323"/>
      <c r="E25" s="439"/>
      <c r="F25" s="343"/>
      <c r="G25" s="308"/>
      <c r="H25" s="302"/>
      <c r="I25" s="303"/>
      <c r="J25" s="413"/>
      <c r="K25" s="414"/>
      <c r="L25" s="419"/>
      <c r="M25" s="420"/>
      <c r="N25" s="420"/>
      <c r="O25" s="420"/>
      <c r="P25" s="421"/>
      <c r="Q25" s="425"/>
      <c r="R25" s="426"/>
      <c r="S25" s="427"/>
    </row>
    <row r="26" spans="4:19" ht="15.75" customHeight="1" x14ac:dyDescent="0.35">
      <c r="D26" s="323"/>
      <c r="E26" s="428" t="e">
        <f ca="1">HYPERLINK("#B"&amp;TEXT($A$3+$A$4*((ROW()-$A$5)/2),"##"),LEFT($L$2,5)&amp;"."&amp;TEXT((ROW()-$A$5)/2,"0#"))</f>
        <v>#NAME?</v>
      </c>
      <c r="F26" s="415"/>
      <c r="G26" s="307"/>
      <c r="H26" s="300"/>
      <c r="I26" s="301"/>
      <c r="J26" s="411"/>
      <c r="K26" s="412"/>
      <c r="L26" s="440"/>
      <c r="M26" s="441"/>
      <c r="N26" s="441"/>
      <c r="O26" s="441"/>
      <c r="P26" s="442"/>
      <c r="Q26" s="422"/>
      <c r="R26" s="423"/>
      <c r="S26" s="424"/>
    </row>
    <row r="27" spans="4:19" ht="15.75" customHeight="1" thickBot="1" x14ac:dyDescent="0.4">
      <c r="D27" s="324"/>
      <c r="E27" s="439"/>
      <c r="F27" s="343"/>
      <c r="G27" s="308"/>
      <c r="H27" s="302"/>
      <c r="I27" s="303"/>
      <c r="J27" s="413"/>
      <c r="K27" s="414"/>
      <c r="L27" s="443"/>
      <c r="M27" s="444"/>
      <c r="N27" s="444"/>
      <c r="O27" s="444"/>
      <c r="P27" s="445"/>
      <c r="Q27" s="425"/>
      <c r="R27" s="426"/>
      <c r="S27" s="427"/>
    </row>
    <row r="28" spans="4:19" ht="15.75" customHeight="1" x14ac:dyDescent="0.35">
      <c r="D28" s="322" t="s">
        <v>143</v>
      </c>
      <c r="E28" s="428" t="e">
        <f ca="1">HYPERLINK("#B"&amp;TEXT($A$3+$A$4*((ROW()-$A$5)/2),"##"),LEFT($L$2,5)&amp;"."&amp;TEXT((ROW()-$A$5)/2,"0#"))</f>
        <v>#NAME?</v>
      </c>
      <c r="F28" s="415"/>
      <c r="G28" s="307"/>
      <c r="H28" s="300"/>
      <c r="I28" s="301"/>
      <c r="J28" s="411"/>
      <c r="K28" s="412"/>
      <c r="L28" s="440"/>
      <c r="M28" s="441"/>
      <c r="N28" s="441"/>
      <c r="O28" s="441"/>
      <c r="P28" s="442"/>
      <c r="Q28" s="422"/>
      <c r="R28" s="423"/>
      <c r="S28" s="424"/>
    </row>
    <row r="29" spans="4:19" ht="15.75" customHeight="1" x14ac:dyDescent="0.35">
      <c r="D29" s="323"/>
      <c r="E29" s="439"/>
      <c r="F29" s="343"/>
      <c r="G29" s="308"/>
      <c r="H29" s="302"/>
      <c r="I29" s="303"/>
      <c r="J29" s="413"/>
      <c r="K29" s="414"/>
      <c r="L29" s="443"/>
      <c r="M29" s="444"/>
      <c r="N29" s="444"/>
      <c r="O29" s="444"/>
      <c r="P29" s="445"/>
      <c r="Q29" s="425"/>
      <c r="R29" s="426"/>
      <c r="S29" s="427"/>
    </row>
    <row r="30" spans="4:19" ht="15.75" customHeight="1" x14ac:dyDescent="0.35">
      <c r="D30" s="323"/>
      <c r="E30" s="428" t="e">
        <f ca="1">HYPERLINK("#B"&amp;TEXT($A$3+$A$4*((ROW()-$A$5)/2),"##"),LEFT($L$2,5)&amp;"."&amp;TEXT((ROW()-$A$5)/2,"0#"))</f>
        <v>#NAME?</v>
      </c>
      <c r="F30" s="415"/>
      <c r="G30" s="307"/>
      <c r="H30" s="300"/>
      <c r="I30" s="301"/>
      <c r="J30" s="411"/>
      <c r="K30" s="412"/>
      <c r="L30" s="416"/>
      <c r="M30" s="417"/>
      <c r="N30" s="417"/>
      <c r="O30" s="417"/>
      <c r="P30" s="418"/>
      <c r="Q30" s="422"/>
      <c r="R30" s="423"/>
      <c r="S30" s="424"/>
    </row>
    <row r="31" spans="4:19" ht="15.75" customHeight="1" thickBot="1" x14ac:dyDescent="0.4">
      <c r="D31" s="324"/>
      <c r="E31" s="439"/>
      <c r="F31" s="343"/>
      <c r="G31" s="308"/>
      <c r="H31" s="302"/>
      <c r="I31" s="303"/>
      <c r="J31" s="413"/>
      <c r="K31" s="414"/>
      <c r="L31" s="419"/>
      <c r="M31" s="420"/>
      <c r="N31" s="420"/>
      <c r="O31" s="420"/>
      <c r="P31" s="421"/>
      <c r="Q31" s="425"/>
      <c r="R31" s="426"/>
      <c r="S31" s="427"/>
    </row>
    <row r="32" spans="4:19" ht="15.75" customHeight="1" x14ac:dyDescent="0.35">
      <c r="D32" s="322" t="s">
        <v>144</v>
      </c>
      <c r="E32" s="428" t="e">
        <f ca="1">HYPERLINK("#B"&amp;TEXT($A$3+$A$4*((ROW()-$A$5)/2),"##"),LEFT($L$2,5)&amp;"."&amp;TEXT((ROW()-$A$5)/2,"0#"))</f>
        <v>#NAME?</v>
      </c>
      <c r="F32" s="415"/>
      <c r="G32" s="307"/>
      <c r="H32" s="300"/>
      <c r="I32" s="301"/>
      <c r="J32" s="411"/>
      <c r="K32" s="412"/>
      <c r="L32" s="416"/>
      <c r="M32" s="417"/>
      <c r="N32" s="417"/>
      <c r="O32" s="417"/>
      <c r="P32" s="418"/>
      <c r="Q32" s="422"/>
      <c r="R32" s="423"/>
      <c r="S32" s="424"/>
    </row>
    <row r="33" spans="4:19" ht="15.75" customHeight="1" x14ac:dyDescent="0.35">
      <c r="D33" s="323"/>
      <c r="E33" s="439"/>
      <c r="F33" s="343"/>
      <c r="G33" s="308"/>
      <c r="H33" s="302"/>
      <c r="I33" s="303"/>
      <c r="J33" s="413"/>
      <c r="K33" s="414"/>
      <c r="L33" s="419"/>
      <c r="M33" s="420"/>
      <c r="N33" s="420"/>
      <c r="O33" s="420"/>
      <c r="P33" s="421"/>
      <c r="Q33" s="425"/>
      <c r="R33" s="426"/>
      <c r="S33" s="427"/>
    </row>
    <row r="34" spans="4:19" ht="15.75" customHeight="1" x14ac:dyDescent="0.35">
      <c r="D34" s="323"/>
      <c r="E34" s="428" t="e">
        <f ca="1">HYPERLINK("#B"&amp;TEXT($A$3+$A$4*((ROW()-$A$5)/2),"##"),LEFT($L$2,5)&amp;"."&amp;TEXT((ROW()-$A$5)/2,"0#"))</f>
        <v>#NAME?</v>
      </c>
      <c r="F34" s="415"/>
      <c r="G34" s="307"/>
      <c r="H34" s="300"/>
      <c r="I34" s="301"/>
      <c r="J34" s="411"/>
      <c r="K34" s="412"/>
      <c r="L34" s="416"/>
      <c r="M34" s="417"/>
      <c r="N34" s="417"/>
      <c r="O34" s="417"/>
      <c r="P34" s="418"/>
      <c r="Q34" s="422"/>
      <c r="R34" s="423"/>
      <c r="S34" s="424"/>
    </row>
    <row r="35" spans="4:19" ht="15.75" customHeight="1" thickBot="1" x14ac:dyDescent="0.4">
      <c r="D35" s="324"/>
      <c r="E35" s="439"/>
      <c r="F35" s="343"/>
      <c r="G35" s="308"/>
      <c r="H35" s="302"/>
      <c r="I35" s="303"/>
      <c r="J35" s="413"/>
      <c r="K35" s="414"/>
      <c r="L35" s="419"/>
      <c r="M35" s="420"/>
      <c r="N35" s="420"/>
      <c r="O35" s="420"/>
      <c r="P35" s="421"/>
      <c r="Q35" s="425"/>
      <c r="R35" s="426"/>
      <c r="S35" s="427"/>
    </row>
    <row r="36" spans="4:19" ht="15.75" customHeight="1" x14ac:dyDescent="0.35">
      <c r="D36" s="322"/>
      <c r="E36" s="428" t="e">
        <f ca="1">HYPERLINK("#B"&amp;TEXT($A$3+$A$4*((ROW()-$A$5)/2),"##"),LEFT($L$2,5)&amp;"."&amp;TEXT((ROW()-$A$5)/2,"0#"))</f>
        <v>#NAME?</v>
      </c>
      <c r="F36" s="415"/>
      <c r="G36" s="307"/>
      <c r="H36" s="300"/>
      <c r="I36" s="301"/>
      <c r="J36" s="411"/>
      <c r="K36" s="412"/>
      <c r="L36" s="416"/>
      <c r="M36" s="417"/>
      <c r="N36" s="417"/>
      <c r="O36" s="417"/>
      <c r="P36" s="418"/>
      <c r="Q36" s="422"/>
      <c r="R36" s="423"/>
      <c r="S36" s="424"/>
    </row>
    <row r="37" spans="4:19" ht="15.75" customHeight="1" x14ac:dyDescent="0.35">
      <c r="D37" s="323"/>
      <c r="E37" s="439"/>
      <c r="F37" s="343"/>
      <c r="G37" s="308"/>
      <c r="H37" s="302"/>
      <c r="I37" s="303"/>
      <c r="J37" s="413"/>
      <c r="K37" s="414"/>
      <c r="L37" s="419"/>
      <c r="M37" s="420"/>
      <c r="N37" s="420"/>
      <c r="O37" s="420"/>
      <c r="P37" s="421"/>
      <c r="Q37" s="425"/>
      <c r="R37" s="426"/>
      <c r="S37" s="427"/>
    </row>
    <row r="38" spans="4:19" ht="15.75" customHeight="1" x14ac:dyDescent="0.35">
      <c r="D38" s="323"/>
      <c r="E38" s="428" t="e">
        <f ca="1">HYPERLINK("#B"&amp;TEXT($A$3+$A$4*((ROW()-$A$5)/2),"##"),LEFT($L$2,5)&amp;"."&amp;TEXT((ROW()-$A$5)/2,"0#"))</f>
        <v>#NAME?</v>
      </c>
      <c r="F38" s="415"/>
      <c r="G38" s="307"/>
      <c r="H38" s="300"/>
      <c r="I38" s="301"/>
      <c r="J38" s="411"/>
      <c r="K38" s="412"/>
      <c r="L38" s="416"/>
      <c r="M38" s="417"/>
      <c r="N38" s="417"/>
      <c r="O38" s="417"/>
      <c r="P38" s="418"/>
      <c r="Q38" s="422"/>
      <c r="R38" s="423"/>
      <c r="S38" s="424"/>
    </row>
    <row r="39" spans="4:19" ht="15.75" customHeight="1" thickBot="1" x14ac:dyDescent="0.4">
      <c r="D39" s="324"/>
      <c r="E39" s="429"/>
      <c r="F39" s="430"/>
      <c r="G39" s="315"/>
      <c r="H39" s="316"/>
      <c r="I39" s="317"/>
      <c r="J39" s="431"/>
      <c r="K39" s="432"/>
      <c r="L39" s="433"/>
      <c r="M39" s="434"/>
      <c r="N39" s="434"/>
      <c r="O39" s="434"/>
      <c r="P39" s="435"/>
      <c r="Q39" s="436"/>
      <c r="R39" s="437"/>
      <c r="S39" s="438"/>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f ca="1">OFFSET($G$7,2*(D53+1)-1,0)</f>
        <v>0</v>
      </c>
      <c r="L56" s="234"/>
      <c r="M56" s="235"/>
      <c r="N56" s="236" t="s">
        <v>145</v>
      </c>
      <c r="O56" s="237"/>
      <c r="P56" s="238"/>
      <c r="Q56" s="236" t="s">
        <v>146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6"/>
      <c r="J60" s="66"/>
      <c r="K60" s="66"/>
      <c r="L60" s="66"/>
      <c r="M60" s="66"/>
      <c r="N60" s="66"/>
      <c r="O60" s="66"/>
      <c r="P60" s="68"/>
      <c r="Q60" s="68"/>
      <c r="R60" s="68"/>
      <c r="S60" s="69"/>
      <c r="U60" s="289"/>
      <c r="V60" s="290"/>
    </row>
    <row r="61" spans="1:22" ht="15" thickBot="1" x14ac:dyDescent="0.4">
      <c r="A61" s="8" t="s">
        <v>75</v>
      </c>
      <c r="C61"/>
      <c r="D61" s="251"/>
      <c r="E61" s="70" t="s">
        <v>79</v>
      </c>
      <c r="F61" s="71" t="s">
        <v>147</v>
      </c>
      <c r="G61" s="72" t="s">
        <v>148</v>
      </c>
      <c r="H61" s="73"/>
      <c r="I61" s="74"/>
      <c r="J61" s="74"/>
      <c r="K61" s="74"/>
      <c r="L61" s="74"/>
      <c r="M61" s="74"/>
      <c r="N61" s="74"/>
      <c r="O61" s="74"/>
      <c r="P61" s="74"/>
      <c r="Q61" s="75"/>
      <c r="R61" s="75"/>
      <c r="S61" s="76"/>
      <c r="U61" s="199">
        <v>0</v>
      </c>
      <c r="V61" s="200" t="s">
        <v>21</v>
      </c>
    </row>
    <row r="62" spans="1:22" ht="15" thickBot="1" x14ac:dyDescent="0.4">
      <c r="A62" s="8" t="s">
        <v>75</v>
      </c>
      <c r="C62"/>
      <c r="D62" s="251"/>
      <c r="E62" s="77" t="s">
        <v>81</v>
      </c>
      <c r="F62" s="78" t="s">
        <v>149</v>
      </c>
      <c r="G62" s="79" t="s">
        <v>150</v>
      </c>
      <c r="H62" s="80"/>
      <c r="I62" s="81"/>
      <c r="J62" s="81"/>
      <c r="K62" s="81"/>
      <c r="L62" s="81"/>
      <c r="M62" s="81"/>
      <c r="N62" s="81"/>
      <c r="O62" s="81"/>
      <c r="P62" s="81"/>
      <c r="Q62" s="83"/>
      <c r="R62" s="83"/>
      <c r="S62" s="84"/>
      <c r="U62" s="33">
        <v>1</v>
      </c>
      <c r="V62" s="201" t="s">
        <v>22</v>
      </c>
    </row>
    <row r="63" spans="1:22" ht="15" thickBot="1" x14ac:dyDescent="0.4">
      <c r="A63" s="8" t="s">
        <v>75</v>
      </c>
      <c r="C63"/>
      <c r="D63" s="251"/>
      <c r="E63" s="77" t="s">
        <v>83</v>
      </c>
      <c r="F63" s="78" t="s">
        <v>151</v>
      </c>
      <c r="G63" s="79" t="s">
        <v>150</v>
      </c>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f ca="1">OFFSET($G$7,2*(D103+1)-1,0)</f>
        <v>0</v>
      </c>
      <c r="L106" s="234"/>
      <c r="M106" s="235"/>
      <c r="N106" s="236" t="s">
        <v>145</v>
      </c>
      <c r="O106" s="237"/>
      <c r="P106" s="238"/>
      <c r="Q106" s="236" t="s">
        <v>146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6"/>
      <c r="J110" s="66"/>
      <c r="K110" s="66"/>
      <c r="L110" s="66"/>
      <c r="M110" s="66"/>
      <c r="N110" s="66"/>
      <c r="O110" s="66"/>
      <c r="P110" s="68"/>
      <c r="Q110" s="68"/>
      <c r="R110" s="68"/>
      <c r="S110" s="69"/>
      <c r="U110" s="289"/>
      <c r="V110" s="290"/>
    </row>
    <row r="111" spans="1:22" ht="15" thickBot="1" x14ac:dyDescent="0.4">
      <c r="A111" s="8" t="s">
        <v>75</v>
      </c>
      <c r="C111"/>
      <c r="D111" s="251"/>
      <c r="E111" s="70" t="s">
        <v>79</v>
      </c>
      <c r="F111" s="71" t="s">
        <v>152</v>
      </c>
      <c r="G111" s="72" t="s">
        <v>150</v>
      </c>
      <c r="H111" s="73"/>
      <c r="I111" s="73"/>
      <c r="J111" s="73"/>
      <c r="K111" s="73"/>
      <c r="L111" s="73"/>
      <c r="M111" s="73"/>
      <c r="N111" s="73"/>
      <c r="O111" s="73"/>
      <c r="P111" s="73"/>
      <c r="Q111" s="75"/>
      <c r="R111" s="75"/>
      <c r="S111" s="76"/>
      <c r="U111" s="199">
        <v>0</v>
      </c>
      <c r="V111" s="200" t="s">
        <v>21</v>
      </c>
    </row>
    <row r="112" spans="1:22" ht="15" thickBot="1" x14ac:dyDescent="0.4">
      <c r="A112" s="8" t="s">
        <v>75</v>
      </c>
      <c r="C112"/>
      <c r="D112" s="251"/>
      <c r="E112" s="77" t="s">
        <v>81</v>
      </c>
      <c r="F112" s="71" t="s">
        <v>153</v>
      </c>
      <c r="G112" s="72" t="s">
        <v>150</v>
      </c>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1" t="s">
        <v>154</v>
      </c>
      <c r="G113" s="72" t="s">
        <v>150</v>
      </c>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f ca="1">OFFSET($G$7,2*(D153+1)-1,0)</f>
        <v>0</v>
      </c>
      <c r="L156" s="234"/>
      <c r="M156" s="235"/>
      <c r="N156" s="236" t="s">
        <v>145</v>
      </c>
      <c r="O156" s="237"/>
      <c r="P156" s="238"/>
      <c r="Q156" s="236" t="s">
        <v>146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6"/>
      <c r="J160" s="66"/>
      <c r="K160" s="66"/>
      <c r="L160" s="66"/>
      <c r="M160" s="66"/>
      <c r="N160" s="66"/>
      <c r="O160" s="66"/>
      <c r="P160" s="68"/>
      <c r="Q160" s="68"/>
      <c r="R160" s="68"/>
      <c r="S160" s="69"/>
      <c r="U160" s="289"/>
      <c r="V160" s="290"/>
    </row>
    <row r="161" spans="1:22" ht="15" thickBot="1" x14ac:dyDescent="0.4">
      <c r="A161" s="8" t="s">
        <v>75</v>
      </c>
      <c r="C161"/>
      <c r="D161" s="251"/>
      <c r="E161" s="70" t="s">
        <v>79</v>
      </c>
      <c r="F161" s="71" t="s">
        <v>155</v>
      </c>
      <c r="G161" s="72" t="s">
        <v>150</v>
      </c>
      <c r="H161" s="73"/>
      <c r="I161" s="73"/>
      <c r="J161" s="73"/>
      <c r="K161" s="73"/>
      <c r="L161" s="73"/>
      <c r="M161" s="73"/>
      <c r="N161" s="73"/>
      <c r="O161" s="73"/>
      <c r="P161" s="73"/>
      <c r="Q161" s="75"/>
      <c r="R161" s="75"/>
      <c r="S161" s="76"/>
      <c r="U161" s="199">
        <v>0</v>
      </c>
      <c r="V161" s="200" t="s">
        <v>21</v>
      </c>
    </row>
    <row r="162" spans="1:22" ht="15" thickBot="1" x14ac:dyDescent="0.4">
      <c r="A162" s="8" t="s">
        <v>75</v>
      </c>
      <c r="C162"/>
      <c r="D162" s="251"/>
      <c r="E162" s="77" t="s">
        <v>81</v>
      </c>
      <c r="F162" s="78" t="s">
        <v>156</v>
      </c>
      <c r="G162" s="79" t="s">
        <v>157</v>
      </c>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158</v>
      </c>
      <c r="G163" s="79" t="s">
        <v>159</v>
      </c>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f ca="1">OFFSET($G$7,2*(D203+1)-1,0)</f>
        <v>0</v>
      </c>
      <c r="L206" s="234"/>
      <c r="M206" s="235"/>
      <c r="N206" s="236" t="s">
        <v>145</v>
      </c>
      <c r="O206" s="237"/>
      <c r="P206" s="238"/>
      <c r="Q206" s="236" t="s">
        <v>146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6"/>
      <c r="J210" s="66"/>
      <c r="K210" s="66"/>
      <c r="L210" s="66"/>
      <c r="M210" s="66"/>
      <c r="N210" s="66"/>
      <c r="O210" s="66"/>
      <c r="P210" s="68"/>
      <c r="Q210" s="68"/>
      <c r="R210" s="68"/>
      <c r="S210" s="69"/>
      <c r="U210" s="289"/>
      <c r="V210" s="290"/>
    </row>
    <row r="211" spans="1:22" ht="15" thickBot="1" x14ac:dyDescent="0.4">
      <c r="A211" s="8" t="s">
        <v>75</v>
      </c>
      <c r="C211"/>
      <c r="D211" s="251"/>
      <c r="E211" s="70" t="s">
        <v>79</v>
      </c>
      <c r="F211" s="71" t="s">
        <v>160</v>
      </c>
      <c r="G211" s="72"/>
      <c r="H211" s="73"/>
      <c r="I211" s="73"/>
      <c r="J211" s="73"/>
      <c r="K211" s="73"/>
      <c r="L211" s="73"/>
      <c r="M211" s="73"/>
      <c r="N211" s="73"/>
      <c r="O211" s="73"/>
      <c r="P211" s="73"/>
      <c r="Q211" s="75"/>
      <c r="R211" s="75"/>
      <c r="S211" s="76"/>
      <c r="U211" s="199">
        <v>0</v>
      </c>
      <c r="V211" s="200" t="s">
        <v>21</v>
      </c>
    </row>
    <row r="212" spans="1:22" ht="15" thickBot="1" x14ac:dyDescent="0.4">
      <c r="A212" s="8" t="s">
        <v>75</v>
      </c>
      <c r="C212"/>
      <c r="D212" s="251"/>
      <c r="E212" s="77" t="s">
        <v>81</v>
      </c>
      <c r="F212" s="71" t="s">
        <v>161</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f ca="1">OFFSET($G$7,2*(D253+1)-1,0)</f>
        <v>0</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162</v>
      </c>
      <c r="G261" s="72" t="s">
        <v>163</v>
      </c>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f ca="1">OFFSET($G$7,2*(D303+1)-1,0)</f>
        <v>0</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f ca="1">OFFSET($G$7,2*(D353+1)-1,0)</f>
        <v>0</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f ca="1">OFFSET($G$7,2*(D403+1)-1,0)</f>
        <v>0</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f ca="1">OFFSET($G$7,2*(D453+1)-1,0)</f>
        <v>0</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f ca="1">OFFSET($G$7,2*(D503+1)-1,0)</f>
        <v>0</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f ca="1">OFFSET($G$7,2*(D553+1)-1,0)</f>
        <v>0</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f ca="1">OFFSET($G$7,2*(D603+1)-1,0)</f>
        <v>0</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f ca="1">OFFSET($G$7,2*(D653+1)-1,0)</f>
        <v>0</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f ca="1">OFFSET($G$7,2*(D703+1)-1,0)</f>
        <v>0</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f ca="1">OFFSET($G$7,2*(D753+1)-1,0)</f>
        <v>0</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1730" priority="126" stopIfTrue="1">
      <formula>IF(LEFT($A$7,2)="01",1,0)</formula>
    </cfRule>
    <cfRule type="expression" dxfId="1729" priority="132" stopIfTrue="1">
      <formula>IF(LEFT($A$7,2)="03",1,0)</formula>
    </cfRule>
    <cfRule type="expression" dxfId="1728" priority="133" stopIfTrue="1">
      <formula>IF(LEFT($A$7,2)="04",1,0)</formula>
    </cfRule>
    <cfRule type="expression" dxfId="1727" priority="134">
      <formula>IF(LEFT($A$7,2)="05",1,0)</formula>
    </cfRule>
    <cfRule type="expression" dxfId="1726" priority="131" stopIfTrue="1">
      <formula>IF(LEFT($A$7,2)="02",1,0)</formula>
    </cfRule>
  </conditionalFormatting>
  <conditionalFormatting sqref="D4:S4">
    <cfRule type="expression" dxfId="1725" priority="128">
      <formula>IF(LEFT($A$7,2)="03",1,0)</formula>
    </cfRule>
    <cfRule type="expression" dxfId="1724" priority="127">
      <formula>IF(LEFT($A$7,2)="02",1,0)</formula>
    </cfRule>
    <cfRule type="expression" dxfId="1723" priority="129">
      <formula>IF(LEFT($A$7,2)="04",1,0)</formula>
    </cfRule>
    <cfRule type="expression" dxfId="1722" priority="125">
      <formula>IF(LEFT($A$7,2)="01",1,0)</formula>
    </cfRule>
    <cfRule type="expression" dxfId="1721" priority="130">
      <formula>IF(LEFT($A$7,2)="05",1,0)</formula>
    </cfRule>
  </conditionalFormatting>
  <conditionalFormatting sqref="D54:S54">
    <cfRule type="expression" dxfId="1720" priority="419">
      <formula>IF(LEFT($A$7,2)="04",1,0)</formula>
    </cfRule>
    <cfRule type="expression" dxfId="1719" priority="420">
      <formula>IF(LEFT($A$7,2)="05",1,0)</formula>
    </cfRule>
    <cfRule type="expression" dxfId="1718" priority="416">
      <formula>IF(LEFT($A$7,2)="01",1,0)</formula>
    </cfRule>
    <cfRule type="expression" dxfId="1717" priority="417">
      <formula>IF(LEFT($A$7,2)="02",1,0)</formula>
    </cfRule>
    <cfRule type="expression" dxfId="1716" priority="418">
      <formula>IF(LEFT($A$7,2)="03",1,0)</formula>
    </cfRule>
  </conditionalFormatting>
  <conditionalFormatting sqref="D104:S104">
    <cfRule type="expression" dxfId="1715" priority="327">
      <formula>IF(LEFT($A$7,2)="02",1,0)</formula>
    </cfRule>
    <cfRule type="expression" dxfId="1714" priority="328">
      <formula>IF(LEFT($A$7,2)="03",1,0)</formula>
    </cfRule>
    <cfRule type="expression" dxfId="1713" priority="329">
      <formula>IF(LEFT($A$7,2)="04",1,0)</formula>
    </cfRule>
    <cfRule type="expression" dxfId="1712" priority="330">
      <formula>IF(LEFT($A$7,2)="05",1,0)</formula>
    </cfRule>
    <cfRule type="expression" dxfId="1711" priority="326">
      <formula>IF(LEFT($A$7,2)="01",1,0)</formula>
    </cfRule>
  </conditionalFormatting>
  <conditionalFormatting sqref="D154:S154">
    <cfRule type="expression" dxfId="1710" priority="322">
      <formula>IF(LEFT($A$7,2)="02",1,0)</formula>
    </cfRule>
    <cfRule type="expression" dxfId="1709" priority="323">
      <formula>IF(LEFT($A$7,2)="03",1,0)</formula>
    </cfRule>
    <cfRule type="expression" dxfId="1708" priority="324">
      <formula>IF(LEFT($A$7,2)="04",1,0)</formula>
    </cfRule>
    <cfRule type="expression" dxfId="1707" priority="321">
      <formula>IF(LEFT($A$7,2)="01",1,0)</formula>
    </cfRule>
    <cfRule type="expression" dxfId="1706" priority="325">
      <formula>IF(LEFT($A$7,2)="05",1,0)</formula>
    </cfRule>
  </conditionalFormatting>
  <conditionalFormatting sqref="D204:S204">
    <cfRule type="expression" dxfId="1705" priority="318">
      <formula>IF(LEFT($A$7,2)="03",1,0)</formula>
    </cfRule>
    <cfRule type="expression" dxfId="1704" priority="317">
      <formula>IF(LEFT($A$7,2)="02",1,0)</formula>
    </cfRule>
    <cfRule type="expression" dxfId="1703" priority="316">
      <formula>IF(LEFT($A$7,2)="01",1,0)</formula>
    </cfRule>
    <cfRule type="expression" dxfId="1702" priority="320">
      <formula>IF(LEFT($A$7,2)="05",1,0)</formula>
    </cfRule>
    <cfRule type="expression" dxfId="1701" priority="319">
      <formula>IF(LEFT($A$7,2)="04",1,0)</formula>
    </cfRule>
  </conditionalFormatting>
  <conditionalFormatting sqref="D254:S254">
    <cfRule type="expression" dxfId="1700" priority="315">
      <formula>IF(LEFT($A$7,2)="05",1,0)</formula>
    </cfRule>
    <cfRule type="expression" dxfId="1699" priority="314">
      <formula>IF(LEFT($A$7,2)="04",1,0)</formula>
    </cfRule>
    <cfRule type="expression" dxfId="1698" priority="312">
      <formula>IF(LEFT($A$7,2)="02",1,0)</formula>
    </cfRule>
    <cfRule type="expression" dxfId="1697" priority="311">
      <formula>IF(LEFT($A$7,2)="01",1,0)</formula>
    </cfRule>
    <cfRule type="expression" dxfId="1696" priority="313">
      <formula>IF(LEFT($A$7,2)="03",1,0)</formula>
    </cfRule>
  </conditionalFormatting>
  <conditionalFormatting sqref="D304:S304">
    <cfRule type="expression" dxfId="1695" priority="306">
      <formula>IF(LEFT($A$7,2)="01",1,0)</formula>
    </cfRule>
    <cfRule type="expression" dxfId="1694" priority="307">
      <formula>IF(LEFT($A$7,2)="02",1,0)</formula>
    </cfRule>
    <cfRule type="expression" dxfId="1693" priority="310">
      <formula>IF(LEFT($A$7,2)="05",1,0)</formula>
    </cfRule>
    <cfRule type="expression" dxfId="1692" priority="309">
      <formula>IF(LEFT($A$7,2)="04",1,0)</formula>
    </cfRule>
    <cfRule type="expression" dxfId="1691" priority="308">
      <formula>IF(LEFT($A$7,2)="03",1,0)</formula>
    </cfRule>
  </conditionalFormatting>
  <conditionalFormatting sqref="D354:S354">
    <cfRule type="expression" dxfId="1690" priority="301">
      <formula>IF(LEFT($A$7,2)="01",1,0)</formula>
    </cfRule>
    <cfRule type="expression" dxfId="1689" priority="302">
      <formula>IF(LEFT($A$7,2)="02",1,0)</formula>
    </cfRule>
    <cfRule type="expression" dxfId="1688" priority="303">
      <formula>IF(LEFT($A$7,2)="03",1,0)</formula>
    </cfRule>
    <cfRule type="expression" dxfId="1687" priority="304">
      <formula>IF(LEFT($A$7,2)="04",1,0)</formula>
    </cfRule>
    <cfRule type="expression" dxfId="1686" priority="305">
      <formula>IF(LEFT($A$7,2)="05",1,0)</formula>
    </cfRule>
  </conditionalFormatting>
  <conditionalFormatting sqref="D404:S404">
    <cfRule type="expression" dxfId="1685" priority="297">
      <formula>IF(LEFT($A$7,2)="02",1,0)</formula>
    </cfRule>
    <cfRule type="expression" dxfId="1684" priority="298">
      <formula>IF(LEFT($A$7,2)="03",1,0)</formula>
    </cfRule>
    <cfRule type="expression" dxfId="1683" priority="300">
      <formula>IF(LEFT($A$7,2)="05",1,0)</formula>
    </cfRule>
    <cfRule type="expression" dxfId="1682" priority="296">
      <formula>IF(LEFT($A$7,2)="01",1,0)</formula>
    </cfRule>
    <cfRule type="expression" dxfId="1681" priority="299">
      <formula>IF(LEFT($A$7,2)="04",1,0)</formula>
    </cfRule>
  </conditionalFormatting>
  <conditionalFormatting sqref="D454:S454">
    <cfRule type="expression" dxfId="1680" priority="294">
      <formula>IF(LEFT($A$7,2)="04",1,0)</formula>
    </cfRule>
    <cfRule type="expression" dxfId="1679" priority="292">
      <formula>IF(LEFT($A$7,2)="02",1,0)</formula>
    </cfRule>
    <cfRule type="expression" dxfId="1678" priority="291">
      <formula>IF(LEFT($A$7,2)="01",1,0)</formula>
    </cfRule>
    <cfRule type="expression" dxfId="1677" priority="293">
      <formula>IF(LEFT($A$7,2)="03",1,0)</formula>
    </cfRule>
    <cfRule type="expression" dxfId="1676" priority="295">
      <formula>IF(LEFT($A$7,2)="05",1,0)</formula>
    </cfRule>
  </conditionalFormatting>
  <conditionalFormatting sqref="D504:S504">
    <cfRule type="expression" dxfId="1675" priority="290">
      <formula>IF(LEFT($A$7,2)="05",1,0)</formula>
    </cfRule>
    <cfRule type="expression" dxfId="1674" priority="289">
      <formula>IF(LEFT($A$7,2)="04",1,0)</formula>
    </cfRule>
    <cfRule type="expression" dxfId="1673" priority="288">
      <formula>IF(LEFT($A$7,2)="03",1,0)</formula>
    </cfRule>
    <cfRule type="expression" dxfId="1672" priority="287">
      <formula>IF(LEFT($A$7,2)="02",1,0)</formula>
    </cfRule>
    <cfRule type="expression" dxfId="1671" priority="286">
      <formula>IF(LEFT($A$7,2)="01",1,0)</formula>
    </cfRule>
  </conditionalFormatting>
  <conditionalFormatting sqref="D554:S554">
    <cfRule type="expression" dxfId="1670" priority="281">
      <formula>IF(LEFT($A$7,2)="01",1,0)</formula>
    </cfRule>
    <cfRule type="expression" dxfId="1669" priority="285">
      <formula>IF(LEFT($A$7,2)="05",1,0)</formula>
    </cfRule>
    <cfRule type="expression" dxfId="1668" priority="284">
      <formula>IF(LEFT($A$7,2)="04",1,0)</formula>
    </cfRule>
    <cfRule type="expression" dxfId="1667" priority="282">
      <formula>IF(LEFT($A$7,2)="02",1,0)</formula>
    </cfRule>
    <cfRule type="expression" dxfId="1666" priority="283">
      <formula>IF(LEFT($A$7,2)="03",1,0)</formula>
    </cfRule>
  </conditionalFormatting>
  <conditionalFormatting sqref="D604:S604">
    <cfRule type="expression" dxfId="1665" priority="278">
      <formula>IF(LEFT($A$7,2)="03",1,0)</formula>
    </cfRule>
    <cfRule type="expression" dxfId="1664" priority="277">
      <formula>IF(LEFT($A$7,2)="02",1,0)</formula>
    </cfRule>
    <cfRule type="expression" dxfId="1663" priority="276">
      <formula>IF(LEFT($A$7,2)="01",1,0)</formula>
    </cfRule>
    <cfRule type="expression" dxfId="1662" priority="280">
      <formula>IF(LEFT($A$7,2)="05",1,0)</formula>
    </cfRule>
    <cfRule type="expression" dxfId="1661" priority="279">
      <formula>IF(LEFT($A$7,2)="04",1,0)</formula>
    </cfRule>
  </conditionalFormatting>
  <conditionalFormatting sqref="D654:S654">
    <cfRule type="expression" dxfId="1660" priority="271">
      <formula>IF(LEFT($A$7,2)="01",1,0)</formula>
    </cfRule>
    <cfRule type="expression" dxfId="1659" priority="272">
      <formula>IF(LEFT($A$7,2)="02",1,0)</formula>
    </cfRule>
    <cfRule type="expression" dxfId="1658" priority="273">
      <formula>IF(LEFT($A$7,2)="03",1,0)</formula>
    </cfRule>
    <cfRule type="expression" dxfId="1657" priority="274">
      <formula>IF(LEFT($A$7,2)="04",1,0)</formula>
    </cfRule>
    <cfRule type="expression" dxfId="1656" priority="275">
      <formula>IF(LEFT($A$7,2)="05",1,0)</formula>
    </cfRule>
  </conditionalFormatting>
  <conditionalFormatting sqref="D704:S704">
    <cfRule type="expression" dxfId="1655" priority="266">
      <formula>IF(LEFT($A$7,2)="01",1,0)</formula>
    </cfRule>
    <cfRule type="expression" dxfId="1654" priority="267">
      <formula>IF(LEFT($A$7,2)="02",1,0)</formula>
    </cfRule>
    <cfRule type="expression" dxfId="1653" priority="268">
      <formula>IF(LEFT($A$7,2)="03",1,0)</formula>
    </cfRule>
    <cfRule type="expression" dxfId="1652" priority="269">
      <formula>IF(LEFT($A$7,2)="04",1,0)</formula>
    </cfRule>
    <cfRule type="expression" dxfId="1651" priority="270">
      <formula>IF(LEFT($A$7,2)="05",1,0)</formula>
    </cfRule>
  </conditionalFormatting>
  <conditionalFormatting sqref="D754:S754">
    <cfRule type="expression" dxfId="1650" priority="264">
      <formula>IF(LEFT($A$7,2)="04",1,0)</formula>
    </cfRule>
    <cfRule type="expression" dxfId="1649" priority="265">
      <formula>IF(LEFT($A$7,2)="05",1,0)</formula>
    </cfRule>
    <cfRule type="expression" dxfId="1648" priority="261">
      <formula>IF(LEFT($A$7,2)="01",1,0)</formula>
    </cfRule>
    <cfRule type="expression" dxfId="1647" priority="263">
      <formula>IF(LEFT($A$7,2)="03",1,0)</formula>
    </cfRule>
    <cfRule type="expression" dxfId="1646" priority="262">
      <formula>IF(LEFT($A$7,2)="02",1,0)</formula>
    </cfRule>
  </conditionalFormatting>
  <conditionalFormatting sqref="G8">
    <cfRule type="cellIs" dxfId="1645" priority="157" operator="equal">
      <formula>1</formula>
    </cfRule>
    <cfRule type="cellIs" dxfId="1644" priority="158" operator="equal">
      <formula>2</formula>
    </cfRule>
    <cfRule type="cellIs" dxfId="1643" priority="160" operator="equal">
      <formula>4</formula>
    </cfRule>
    <cfRule type="cellIs" dxfId="1642" priority="161" operator="equal">
      <formula>5</formula>
    </cfRule>
    <cfRule type="cellIs" dxfId="1641" priority="162" operator="equal">
      <formula>6</formula>
    </cfRule>
    <cfRule type="cellIs" dxfId="1640" priority="149" operator="equal">
      <formula>2</formula>
    </cfRule>
    <cfRule type="cellIs" dxfId="1639" priority="159" operator="equal">
      <formula>3</formula>
    </cfRule>
    <cfRule type="cellIs" dxfId="1638" priority="150" operator="equal">
      <formula>3</formula>
    </cfRule>
    <cfRule type="cellIs" dxfId="1637" priority="151" operator="equal">
      <formula>4</formula>
    </cfRule>
    <cfRule type="cellIs" dxfId="1636" priority="152" operator="equal">
      <formula>5</formula>
    </cfRule>
    <cfRule type="cellIs" dxfId="1635" priority="153" operator="equal">
      <formula>6</formula>
    </cfRule>
    <cfRule type="cellIs" dxfId="1634" priority="154" operator="equal">
      <formula>7</formula>
    </cfRule>
    <cfRule type="cellIs" dxfId="1633" priority="156" operator="equal">
      <formula>"x"</formula>
    </cfRule>
  </conditionalFormatting>
  <conditionalFormatting sqref="G10 G16">
    <cfRule type="cellIs" dxfId="1632" priority="42" operator="equal">
      <formula>6</formula>
    </cfRule>
    <cfRule type="cellIs" dxfId="1631" priority="41" operator="equal">
      <formula>5</formula>
    </cfRule>
    <cfRule type="cellIs" dxfId="1630" priority="40" operator="equal">
      <formula>4</formula>
    </cfRule>
    <cfRule type="cellIs" dxfId="1629" priority="39" operator="equal">
      <formula>3</formula>
    </cfRule>
    <cfRule type="cellIs" dxfId="1628" priority="38" operator="equal">
      <formula>2</formula>
    </cfRule>
    <cfRule type="cellIs" dxfId="1627" priority="37" operator="equal">
      <formula>1</formula>
    </cfRule>
    <cfRule type="cellIs" dxfId="1626" priority="36" operator="equal">
      <formula>"x"</formula>
    </cfRule>
    <cfRule type="cellIs" dxfId="1625" priority="34" operator="equal">
      <formula>7</formula>
    </cfRule>
    <cfRule type="cellIs" dxfId="1624" priority="33" operator="equal">
      <formula>6</formula>
    </cfRule>
    <cfRule type="cellIs" dxfId="1623" priority="32" operator="equal">
      <formula>5</formula>
    </cfRule>
    <cfRule type="cellIs" dxfId="1622" priority="31" operator="equal">
      <formula>4</formula>
    </cfRule>
    <cfRule type="cellIs" dxfId="1621" priority="30" operator="equal">
      <formula>3</formula>
    </cfRule>
    <cfRule type="cellIs" dxfId="1620" priority="29" operator="equal">
      <formula>2</formula>
    </cfRule>
  </conditionalFormatting>
  <conditionalFormatting sqref="G12">
    <cfRule type="cellIs" dxfId="1619" priority="26" operator="equal">
      <formula>4</formula>
    </cfRule>
    <cfRule type="cellIs" dxfId="1618" priority="28" operator="equal">
      <formula>6</formula>
    </cfRule>
    <cfRule type="cellIs" dxfId="1617" priority="27" operator="equal">
      <formula>5</formula>
    </cfRule>
    <cfRule type="cellIs" dxfId="1616" priority="18" operator="equal">
      <formula>5</formula>
    </cfRule>
    <cfRule type="cellIs" dxfId="1615" priority="23" operator="equal">
      <formula>1</formula>
    </cfRule>
    <cfRule type="cellIs" dxfId="1614" priority="22" operator="equal">
      <formula>"x"</formula>
    </cfRule>
    <cfRule type="cellIs" dxfId="1613" priority="20" operator="equal">
      <formula>7</formula>
    </cfRule>
    <cfRule type="cellIs" dxfId="1612" priority="19" operator="equal">
      <formula>6</formula>
    </cfRule>
    <cfRule type="cellIs" dxfId="1611" priority="17" operator="equal">
      <formula>4</formula>
    </cfRule>
    <cfRule type="cellIs" dxfId="1610" priority="16" operator="equal">
      <formula>3</formula>
    </cfRule>
    <cfRule type="cellIs" dxfId="1609" priority="15" operator="equal">
      <formula>2</formula>
    </cfRule>
    <cfRule type="cellIs" dxfId="1608" priority="24" operator="equal">
      <formula>2</formula>
    </cfRule>
    <cfRule type="cellIs" dxfId="1607" priority="25" operator="equal">
      <formula>3</formula>
    </cfRule>
  </conditionalFormatting>
  <conditionalFormatting sqref="G14">
    <cfRule type="cellIs" dxfId="1606" priority="1" operator="equal">
      <formula>2</formula>
    </cfRule>
    <cfRule type="cellIs" dxfId="1605" priority="10" operator="equal">
      <formula>2</formula>
    </cfRule>
    <cfRule type="cellIs" dxfId="1604" priority="5" operator="equal">
      <formula>6</formula>
    </cfRule>
    <cfRule type="cellIs" dxfId="1603" priority="9" operator="equal">
      <formula>1</formula>
    </cfRule>
    <cfRule type="cellIs" dxfId="1602" priority="8" operator="equal">
      <formula>"x"</formula>
    </cfRule>
    <cfRule type="cellIs" dxfId="1601" priority="14" operator="equal">
      <formula>6</formula>
    </cfRule>
    <cfRule type="cellIs" dxfId="1600" priority="13" operator="equal">
      <formula>5</formula>
    </cfRule>
    <cfRule type="cellIs" dxfId="1599" priority="12" operator="equal">
      <formula>4</formula>
    </cfRule>
    <cfRule type="cellIs" dxfId="1598" priority="4" operator="equal">
      <formula>5</formula>
    </cfRule>
    <cfRule type="cellIs" dxfId="1597" priority="3" operator="equal">
      <formula>4</formula>
    </cfRule>
    <cfRule type="cellIs" dxfId="1596" priority="2" operator="equal">
      <formula>3</formula>
    </cfRule>
    <cfRule type="cellIs" dxfId="1595" priority="6" operator="equal">
      <formula>7</formula>
    </cfRule>
    <cfRule type="cellIs" dxfId="1594" priority="11" operator="equal">
      <formula>3</formula>
    </cfRule>
  </conditionalFormatting>
  <conditionalFormatting sqref="G18">
    <cfRule type="cellIs" dxfId="1593" priority="54" operator="equal">
      <formula>4</formula>
    </cfRule>
    <cfRule type="cellIs" dxfId="1592" priority="55" operator="equal">
      <formula>5</formula>
    </cfRule>
    <cfRule type="cellIs" dxfId="1591" priority="56" operator="equal">
      <formula>6</formula>
    </cfRule>
    <cfRule type="cellIs" dxfId="1590" priority="44" operator="equal">
      <formula>3</formula>
    </cfRule>
    <cfRule type="cellIs" dxfId="1589" priority="45" operator="equal">
      <formula>4</formula>
    </cfRule>
    <cfRule type="cellIs" dxfId="1588" priority="46" operator="equal">
      <formula>5</formula>
    </cfRule>
    <cfRule type="cellIs" dxfId="1587" priority="47" operator="equal">
      <formula>6</formula>
    </cfRule>
    <cfRule type="cellIs" dxfId="1586" priority="48" operator="equal">
      <formula>7</formula>
    </cfRule>
    <cfRule type="cellIs" dxfId="1585" priority="43" operator="equal">
      <formula>2</formula>
    </cfRule>
    <cfRule type="cellIs" dxfId="1584" priority="50" operator="equal">
      <formula>"x"</formula>
    </cfRule>
    <cfRule type="cellIs" dxfId="1583" priority="51" operator="equal">
      <formula>1</formula>
    </cfRule>
    <cfRule type="cellIs" dxfId="1582" priority="52" operator="equal">
      <formula>2</formula>
    </cfRule>
    <cfRule type="cellIs" dxfId="1581" priority="53" operator="equal">
      <formula>3</formula>
    </cfRule>
  </conditionalFormatting>
  <conditionalFormatting sqref="G20">
    <cfRule type="cellIs" dxfId="1580" priority="80" operator="equal">
      <formula>5</formula>
    </cfRule>
    <cfRule type="cellIs" dxfId="1579" priority="81" operator="equal">
      <formula>6</formula>
    </cfRule>
    <cfRule type="cellIs" dxfId="1578" priority="82" operator="equal">
      <formula>7</formula>
    </cfRule>
    <cfRule type="cellIs" dxfId="1577" priority="84" operator="equal">
      <formula>"x"</formula>
    </cfRule>
    <cfRule type="cellIs" dxfId="1576" priority="85" operator="equal">
      <formula>1</formula>
    </cfRule>
    <cfRule type="cellIs" dxfId="1575" priority="86" operator="equal">
      <formula>2</formula>
    </cfRule>
    <cfRule type="cellIs" dxfId="1574" priority="87" operator="equal">
      <formula>3</formula>
    </cfRule>
    <cfRule type="cellIs" dxfId="1573" priority="88" operator="equal">
      <formula>4</formula>
    </cfRule>
    <cfRule type="cellIs" dxfId="1572" priority="89" operator="equal">
      <formula>5</formula>
    </cfRule>
    <cfRule type="cellIs" dxfId="1571" priority="90" operator="equal">
      <formula>6</formula>
    </cfRule>
    <cfRule type="cellIs" dxfId="1570" priority="77" operator="equal">
      <formula>2</formula>
    </cfRule>
    <cfRule type="cellIs" dxfId="1569" priority="78" operator="equal">
      <formula>3</formula>
    </cfRule>
    <cfRule type="cellIs" dxfId="1568" priority="79" operator="equal">
      <formula>4</formula>
    </cfRule>
  </conditionalFormatting>
  <conditionalFormatting sqref="G22 G24 G26 G28 G30 G32 G34 G36">
    <cfRule type="cellIs" dxfId="1567" priority="199" operator="equal">
      <formula>1</formula>
    </cfRule>
    <cfRule type="cellIs" dxfId="1566" priority="194" operator="equal">
      <formula>5</formula>
    </cfRule>
    <cfRule type="cellIs" dxfId="1565" priority="193" operator="equal">
      <formula>4</formula>
    </cfRule>
    <cfRule type="cellIs" dxfId="1564" priority="192" operator="equal">
      <formula>3</formula>
    </cfRule>
    <cfRule type="cellIs" dxfId="1563" priority="191" operator="equal">
      <formula>2</formula>
    </cfRule>
    <cfRule type="cellIs" dxfId="1562" priority="202" operator="equal">
      <formula>4</formula>
    </cfRule>
    <cfRule type="cellIs" dxfId="1561" priority="203" operator="equal">
      <formula>5</formula>
    </cfRule>
    <cfRule type="cellIs" dxfId="1560" priority="204" operator="equal">
      <formula>6</formula>
    </cfRule>
    <cfRule type="cellIs" dxfId="1559" priority="201" operator="equal">
      <formula>3</formula>
    </cfRule>
    <cfRule type="cellIs" dxfId="1558" priority="200" operator="equal">
      <formula>2</formula>
    </cfRule>
    <cfRule type="cellIs" dxfId="1557" priority="198" operator="equal">
      <formula>"x"</formula>
    </cfRule>
    <cfRule type="cellIs" dxfId="1556" priority="196" operator="equal">
      <formula>7</formula>
    </cfRule>
    <cfRule type="cellIs" dxfId="1555" priority="195" operator="equal">
      <formula>6</formula>
    </cfRule>
  </conditionalFormatting>
  <conditionalFormatting sqref="G38">
    <cfRule type="cellIs" dxfId="1554" priority="178" operator="equal">
      <formula>3</formula>
    </cfRule>
    <cfRule type="cellIs" dxfId="1553" priority="177" operator="equal">
      <formula>2</formula>
    </cfRule>
    <cfRule type="cellIs" dxfId="1552" priority="179" operator="equal">
      <formula>4</formula>
    </cfRule>
    <cfRule type="cellIs" dxfId="1551" priority="187" operator="equal">
      <formula>3</formula>
    </cfRule>
    <cfRule type="cellIs" dxfId="1550" priority="186" operator="equal">
      <formula>2</formula>
    </cfRule>
    <cfRule type="cellIs" dxfId="1549" priority="185" operator="equal">
      <formula>1</formula>
    </cfRule>
    <cfRule type="cellIs" dxfId="1548" priority="184" operator="equal">
      <formula>"x"</formula>
    </cfRule>
    <cfRule type="cellIs" dxfId="1547" priority="190" operator="equal">
      <formula>6</formula>
    </cfRule>
    <cfRule type="cellIs" dxfId="1546" priority="189" operator="equal">
      <formula>5</formula>
    </cfRule>
    <cfRule type="cellIs" dxfId="1545" priority="188" operator="equal">
      <formula>4</formula>
    </cfRule>
    <cfRule type="cellIs" dxfId="1544" priority="182" operator="equal">
      <formula>7</formula>
    </cfRule>
    <cfRule type="cellIs" dxfId="1543" priority="181" operator="equal">
      <formula>6</formula>
    </cfRule>
    <cfRule type="cellIs" dxfId="1542" priority="180" operator="equal">
      <formula>5</formula>
    </cfRule>
  </conditionalFormatting>
  <conditionalFormatting sqref="G8:H8 G22:H22 G24:H24 G26:H26 G28:H28 G30:H30 G32:H32 G34:H34 G36:H36 G38:H38">
    <cfRule type="cellIs" dxfId="1541" priority="120" operator="equal">
      <formula>1</formula>
    </cfRule>
  </conditionalFormatting>
  <conditionalFormatting sqref="G10:H10 G16:H16">
    <cfRule type="cellIs" dxfId="1540" priority="35" operator="equal">
      <formula>1</formula>
    </cfRule>
  </conditionalFormatting>
  <conditionalFormatting sqref="G12:H12">
    <cfRule type="cellIs" dxfId="1539" priority="21" operator="equal">
      <formula>1</formula>
    </cfRule>
  </conditionalFormatting>
  <conditionalFormatting sqref="G14:H14">
    <cfRule type="cellIs" dxfId="1538" priority="7" operator="equal">
      <formula>1</formula>
    </cfRule>
  </conditionalFormatting>
  <conditionalFormatting sqref="G18:H18">
    <cfRule type="cellIs" dxfId="1537" priority="49" operator="equal">
      <formula>1</formula>
    </cfRule>
  </conditionalFormatting>
  <conditionalFormatting sqref="G20:H20">
    <cfRule type="cellIs" dxfId="1536" priority="58" operator="equal">
      <formula>1</formula>
    </cfRule>
  </conditionalFormatting>
  <conditionalFormatting sqref="H8 H22 H24 H26 H28 H30 H32 H34 H36 H38">
    <cfRule type="cellIs" dxfId="1535" priority="119" operator="equal">
      <formula>0</formula>
    </cfRule>
    <cfRule type="cellIs" dxfId="1534" priority="123" operator="equal">
      <formula>4</formula>
    </cfRule>
    <cfRule type="cellIs" dxfId="1533" priority="121" operator="equal">
      <formula>2</formula>
    </cfRule>
    <cfRule type="cellIs" dxfId="1532" priority="122" operator="equal">
      <formula>3</formula>
    </cfRule>
    <cfRule type="cellIs" dxfId="1531" priority="124" operator="equal">
      <formula>5</formula>
    </cfRule>
  </conditionalFormatting>
  <conditionalFormatting sqref="H10 H12 H14 H16 H18 H20">
    <cfRule type="cellIs" dxfId="1530" priority="57" operator="equal">
      <formula>0</formula>
    </cfRule>
    <cfRule type="cellIs" dxfId="1529" priority="59" operator="equal">
      <formula>2</formula>
    </cfRule>
    <cfRule type="cellIs" dxfId="1528" priority="60" operator="equal">
      <formula>3</formula>
    </cfRule>
    <cfRule type="cellIs" dxfId="1527" priority="61" operator="equal">
      <formula>4</formula>
    </cfRule>
    <cfRule type="cellIs" dxfId="1526" priority="62" operator="equal">
      <formula>5</formula>
    </cfRule>
  </conditionalFormatting>
  <conditionalFormatting sqref="H60:S75">
    <cfRule type="cellIs" dxfId="1525" priority="424" operator="equal">
      <formula>4</formula>
    </cfRule>
    <cfRule type="cellIs" dxfId="1524" priority="423" operator="equal">
      <formula>3</formula>
    </cfRule>
    <cfRule type="cellIs" dxfId="1523" priority="422" operator="equal">
      <formula>2</formula>
    </cfRule>
    <cfRule type="cellIs" dxfId="1522" priority="421" operator="equal">
      <formula>1</formula>
    </cfRule>
    <cfRule type="cellIs" dxfId="1521" priority="425" operator="equal">
      <formula>5</formula>
    </cfRule>
    <cfRule type="cellIs" dxfId="1520" priority="415" operator="equal">
      <formula>0</formula>
    </cfRule>
  </conditionalFormatting>
  <conditionalFormatting sqref="H110:S125">
    <cfRule type="cellIs" dxfId="1519" priority="414" operator="equal">
      <formula>5</formula>
    </cfRule>
    <cfRule type="cellIs" dxfId="1518" priority="410" operator="equal">
      <formula>1</formula>
    </cfRule>
    <cfRule type="cellIs" dxfId="1517" priority="413" operator="equal">
      <formula>4</formula>
    </cfRule>
    <cfRule type="cellIs" dxfId="1516" priority="409" operator="equal">
      <formula>0</formula>
    </cfRule>
    <cfRule type="cellIs" dxfId="1515" priority="412" operator="equal">
      <formula>3</formula>
    </cfRule>
    <cfRule type="cellIs" dxfId="1514" priority="411" operator="equal">
      <formula>2</formula>
    </cfRule>
  </conditionalFormatting>
  <conditionalFormatting sqref="H160:S175">
    <cfRule type="cellIs" dxfId="1513" priority="408" operator="equal">
      <formula>5</formula>
    </cfRule>
    <cfRule type="cellIs" dxfId="1512" priority="407" operator="equal">
      <formula>4</formula>
    </cfRule>
    <cfRule type="cellIs" dxfId="1511" priority="406" operator="equal">
      <formula>3</formula>
    </cfRule>
    <cfRule type="cellIs" dxfId="1510" priority="405" operator="equal">
      <formula>2</formula>
    </cfRule>
    <cfRule type="cellIs" dxfId="1509" priority="404" operator="equal">
      <formula>1</formula>
    </cfRule>
    <cfRule type="cellIs" dxfId="1508" priority="403" operator="equal">
      <formula>0</formula>
    </cfRule>
  </conditionalFormatting>
  <conditionalFormatting sqref="H210:S225">
    <cfRule type="cellIs" dxfId="1507" priority="398" operator="equal">
      <formula>1</formula>
    </cfRule>
    <cfRule type="cellIs" dxfId="1506" priority="399" operator="equal">
      <formula>2</formula>
    </cfRule>
    <cfRule type="cellIs" dxfId="1505" priority="400" operator="equal">
      <formula>3</formula>
    </cfRule>
    <cfRule type="cellIs" dxfId="1504" priority="401" operator="equal">
      <formula>4</formula>
    </cfRule>
    <cfRule type="cellIs" dxfId="1503" priority="397" operator="equal">
      <formula>0</formula>
    </cfRule>
    <cfRule type="cellIs" dxfId="1502" priority="402" operator="equal">
      <formula>5</formula>
    </cfRule>
  </conditionalFormatting>
  <conditionalFormatting sqref="H260:S275">
    <cfRule type="cellIs" dxfId="1501" priority="391" operator="equal">
      <formula>0</formula>
    </cfRule>
    <cfRule type="cellIs" dxfId="1500" priority="392" operator="equal">
      <formula>1</formula>
    </cfRule>
    <cfRule type="cellIs" dxfId="1499" priority="393" operator="equal">
      <formula>2</formula>
    </cfRule>
    <cfRule type="cellIs" dxfId="1498" priority="394" operator="equal">
      <formula>3</formula>
    </cfRule>
    <cfRule type="cellIs" dxfId="1497" priority="395" operator="equal">
      <formula>4</formula>
    </cfRule>
    <cfRule type="cellIs" dxfId="1496" priority="396" operator="equal">
      <formula>5</formula>
    </cfRule>
  </conditionalFormatting>
  <conditionalFormatting sqref="H310:S325">
    <cfRule type="cellIs" dxfId="1495" priority="387" operator="equal">
      <formula>2</formula>
    </cfRule>
    <cfRule type="cellIs" dxfId="1494" priority="389" operator="equal">
      <formula>4</formula>
    </cfRule>
    <cfRule type="cellIs" dxfId="1493" priority="390" operator="equal">
      <formula>5</formula>
    </cfRule>
    <cfRule type="cellIs" dxfId="1492" priority="385" operator="equal">
      <formula>0</formula>
    </cfRule>
    <cfRule type="cellIs" dxfId="1491" priority="386" operator="equal">
      <formula>1</formula>
    </cfRule>
    <cfRule type="cellIs" dxfId="1490" priority="388" operator="equal">
      <formula>3</formula>
    </cfRule>
  </conditionalFormatting>
  <conditionalFormatting sqref="H360:S375">
    <cfRule type="cellIs" dxfId="1489" priority="383" operator="equal">
      <formula>4</formula>
    </cfRule>
    <cfRule type="cellIs" dxfId="1488" priority="384" operator="equal">
      <formula>5</formula>
    </cfRule>
    <cfRule type="cellIs" dxfId="1487" priority="379" operator="equal">
      <formula>0</formula>
    </cfRule>
    <cfRule type="cellIs" dxfId="1486" priority="380" operator="equal">
      <formula>1</formula>
    </cfRule>
    <cfRule type="cellIs" dxfId="1485" priority="381" operator="equal">
      <formula>2</formula>
    </cfRule>
    <cfRule type="cellIs" dxfId="1484" priority="382" operator="equal">
      <formula>3</formula>
    </cfRule>
  </conditionalFormatting>
  <conditionalFormatting sqref="H410:S425">
    <cfRule type="cellIs" dxfId="1483" priority="378" operator="equal">
      <formula>5</formula>
    </cfRule>
    <cfRule type="cellIs" dxfId="1482" priority="376" operator="equal">
      <formula>3</formula>
    </cfRule>
    <cfRule type="cellIs" dxfId="1481" priority="375" operator="equal">
      <formula>2</formula>
    </cfRule>
    <cfRule type="cellIs" dxfId="1480" priority="374" operator="equal">
      <formula>1</formula>
    </cfRule>
    <cfRule type="cellIs" dxfId="1479" priority="373" operator="equal">
      <formula>0</formula>
    </cfRule>
    <cfRule type="cellIs" dxfId="1478" priority="377" operator="equal">
      <formula>4</formula>
    </cfRule>
  </conditionalFormatting>
  <conditionalFormatting sqref="H460:S475">
    <cfRule type="cellIs" dxfId="1477" priority="372" operator="equal">
      <formula>5</formula>
    </cfRule>
    <cfRule type="cellIs" dxfId="1476" priority="367" operator="equal">
      <formula>0</formula>
    </cfRule>
    <cfRule type="cellIs" dxfId="1475" priority="371" operator="equal">
      <formula>4</formula>
    </cfRule>
    <cfRule type="cellIs" dxfId="1474" priority="370" operator="equal">
      <formula>3</formula>
    </cfRule>
    <cfRule type="cellIs" dxfId="1473" priority="369" operator="equal">
      <formula>2</formula>
    </cfRule>
    <cfRule type="cellIs" dxfId="1472" priority="368" operator="equal">
      <formula>1</formula>
    </cfRule>
  </conditionalFormatting>
  <conditionalFormatting sqref="H510:S525">
    <cfRule type="cellIs" dxfId="1471" priority="363" operator="equal">
      <formula>2</formula>
    </cfRule>
    <cfRule type="cellIs" dxfId="1470" priority="361" operator="equal">
      <formula>0</formula>
    </cfRule>
    <cfRule type="cellIs" dxfId="1469" priority="366" operator="equal">
      <formula>5</formula>
    </cfRule>
    <cfRule type="cellIs" dxfId="1468" priority="365" operator="equal">
      <formula>4</formula>
    </cfRule>
    <cfRule type="cellIs" dxfId="1467" priority="362" operator="equal">
      <formula>1</formula>
    </cfRule>
    <cfRule type="cellIs" dxfId="1466" priority="364" operator="equal">
      <formula>3</formula>
    </cfRule>
  </conditionalFormatting>
  <conditionalFormatting sqref="H560:S575">
    <cfRule type="cellIs" dxfId="1465" priority="358" operator="equal">
      <formula>3</formula>
    </cfRule>
    <cfRule type="cellIs" dxfId="1464" priority="360" operator="equal">
      <formula>5</formula>
    </cfRule>
    <cfRule type="cellIs" dxfId="1463" priority="356" operator="equal">
      <formula>1</formula>
    </cfRule>
    <cfRule type="cellIs" dxfId="1462" priority="357" operator="equal">
      <formula>2</formula>
    </cfRule>
    <cfRule type="cellIs" dxfId="1461" priority="355" operator="equal">
      <formula>0</formula>
    </cfRule>
    <cfRule type="cellIs" dxfId="1460" priority="359" operator="equal">
      <formula>4</formula>
    </cfRule>
  </conditionalFormatting>
  <conditionalFormatting sqref="H610:S625">
    <cfRule type="cellIs" dxfId="1459" priority="352" operator="equal">
      <formula>3</formula>
    </cfRule>
    <cfRule type="cellIs" dxfId="1458" priority="354" operator="equal">
      <formula>5</formula>
    </cfRule>
    <cfRule type="cellIs" dxfId="1457" priority="353" operator="equal">
      <formula>4</formula>
    </cfRule>
    <cfRule type="cellIs" dxfId="1456" priority="351" operator="equal">
      <formula>2</formula>
    </cfRule>
    <cfRule type="cellIs" dxfId="1455" priority="350" operator="equal">
      <formula>1</formula>
    </cfRule>
    <cfRule type="cellIs" dxfId="1454" priority="349" operator="equal">
      <formula>0</formula>
    </cfRule>
  </conditionalFormatting>
  <conditionalFormatting sqref="H660:S675">
    <cfRule type="cellIs" dxfId="1453" priority="348" operator="equal">
      <formula>5</formula>
    </cfRule>
    <cfRule type="cellIs" dxfId="1452" priority="347" operator="equal">
      <formula>4</formula>
    </cfRule>
    <cfRule type="cellIs" dxfId="1451" priority="345" operator="equal">
      <formula>2</formula>
    </cfRule>
    <cfRule type="cellIs" dxfId="1450" priority="346" operator="equal">
      <formula>3</formula>
    </cfRule>
    <cfRule type="cellIs" dxfId="1449" priority="344" operator="equal">
      <formula>1</formula>
    </cfRule>
    <cfRule type="cellIs" dxfId="1448" priority="343" operator="equal">
      <formula>0</formula>
    </cfRule>
  </conditionalFormatting>
  <conditionalFormatting sqref="H710:S725">
    <cfRule type="cellIs" dxfId="1447" priority="338" operator="equal">
      <formula>1</formula>
    </cfRule>
    <cfRule type="cellIs" dxfId="1446" priority="341" operator="equal">
      <formula>4</formula>
    </cfRule>
    <cfRule type="cellIs" dxfId="1445" priority="337" operator="equal">
      <formula>0</formula>
    </cfRule>
    <cfRule type="cellIs" dxfId="1444" priority="342" operator="equal">
      <formula>5</formula>
    </cfRule>
    <cfRule type="cellIs" dxfId="1443" priority="340" operator="equal">
      <formula>3</formula>
    </cfRule>
    <cfRule type="cellIs" dxfId="1442" priority="339" operator="equal">
      <formula>2</formula>
    </cfRule>
  </conditionalFormatting>
  <conditionalFormatting sqref="H760:S775">
    <cfRule type="cellIs" dxfId="1441" priority="332" operator="equal">
      <formula>1</formula>
    </cfRule>
    <cfRule type="cellIs" dxfId="1440" priority="331" operator="equal">
      <formula>0</formula>
    </cfRule>
    <cfRule type="cellIs" dxfId="1439" priority="333" operator="equal">
      <formula>2</formula>
    </cfRule>
    <cfRule type="cellIs" dxfId="1438" priority="334" operator="equal">
      <formula>3</formula>
    </cfRule>
    <cfRule type="cellIs" dxfId="1437" priority="335" operator="equal">
      <formula>4</formula>
    </cfRule>
    <cfRule type="cellIs" dxfId="1436" priority="336" operator="equal">
      <formula>5</formula>
    </cfRule>
  </conditionalFormatting>
  <conditionalFormatting sqref="J8">
    <cfRule type="cellIs" dxfId="1435" priority="140" operator="equal">
      <formula>7</formula>
    </cfRule>
    <cfRule type="cellIs" dxfId="1434" priority="136" operator="equal">
      <formula>3</formula>
    </cfRule>
    <cfRule type="cellIs" dxfId="1433" priority="135" operator="equal">
      <formula>2</formula>
    </cfRule>
    <cfRule type="cellIs" dxfId="1432" priority="138" operator="equal">
      <formula>5</formula>
    </cfRule>
    <cfRule type="cellIs" dxfId="1431" priority="139" operator="equal">
      <formula>6</formula>
    </cfRule>
    <cfRule type="cellIs" dxfId="1430" priority="145" operator="equal">
      <formula>3</formula>
    </cfRule>
    <cfRule type="cellIs" dxfId="1429" priority="141" operator="equal">
      <formula>1</formula>
    </cfRule>
    <cfRule type="cellIs" dxfId="1428" priority="142" operator="equal">
      <formula>"x"</formula>
    </cfRule>
    <cfRule type="cellIs" dxfId="1427" priority="143" operator="equal">
      <formula>1</formula>
    </cfRule>
    <cfRule type="cellIs" dxfId="1426" priority="144" operator="equal">
      <formula>2</formula>
    </cfRule>
    <cfRule type="cellIs" dxfId="1425" priority="137" operator="equal">
      <formula>4</formula>
    </cfRule>
    <cfRule type="cellIs" dxfId="1424" priority="146" operator="equal">
      <formula>4</formula>
    </cfRule>
    <cfRule type="cellIs" dxfId="1423" priority="147" operator="equal">
      <formula>5</formula>
    </cfRule>
    <cfRule type="cellIs" dxfId="1422" priority="148" operator="equal">
      <formula>6</formula>
    </cfRule>
  </conditionalFormatting>
  <conditionalFormatting sqref="J10 J12 J14 J16 J18 J20">
    <cfRule type="cellIs" dxfId="1421" priority="63" operator="equal">
      <formula>2</formula>
    </cfRule>
    <cfRule type="cellIs" dxfId="1420" priority="64" operator="equal">
      <formula>3</formula>
    </cfRule>
    <cfRule type="cellIs" dxfId="1419" priority="73" operator="equal">
      <formula>3</formula>
    </cfRule>
    <cfRule type="cellIs" dxfId="1418" priority="68" operator="equal">
      <formula>7</formula>
    </cfRule>
    <cfRule type="cellIs" dxfId="1417" priority="67" operator="equal">
      <formula>6</formula>
    </cfRule>
    <cfRule type="cellIs" dxfId="1416" priority="66" operator="equal">
      <formula>5</formula>
    </cfRule>
    <cfRule type="cellIs" dxfId="1415" priority="65" operator="equal">
      <formula>4</formula>
    </cfRule>
    <cfRule type="cellIs" dxfId="1414" priority="72" operator="equal">
      <formula>2</formula>
    </cfRule>
    <cfRule type="cellIs" dxfId="1413" priority="71" operator="equal">
      <formula>1</formula>
    </cfRule>
    <cfRule type="cellIs" dxfId="1412" priority="70" operator="equal">
      <formula>"x"</formula>
    </cfRule>
    <cfRule type="cellIs" dxfId="1411" priority="69" operator="equal">
      <formula>1</formula>
    </cfRule>
    <cfRule type="cellIs" dxfId="1410" priority="76" operator="equal">
      <formula>6</formula>
    </cfRule>
    <cfRule type="cellIs" dxfId="1409" priority="75" operator="equal">
      <formula>5</formula>
    </cfRule>
    <cfRule type="cellIs" dxfId="1408" priority="74" operator="equal">
      <formula>4</formula>
    </cfRule>
  </conditionalFormatting>
  <conditionalFormatting sqref="J22 J24 J26 J28 J30 J32 J34 J36 J38">
    <cfRule type="cellIs" dxfId="1407" priority="163" operator="equal">
      <formula>2</formula>
    </cfRule>
    <cfRule type="cellIs" dxfId="1406" priority="164" operator="equal">
      <formula>3</formula>
    </cfRule>
    <cfRule type="cellIs" dxfId="1405" priority="165" operator="equal">
      <formula>4</formula>
    </cfRule>
    <cfRule type="cellIs" dxfId="1404" priority="166" operator="equal">
      <formula>5</formula>
    </cfRule>
    <cfRule type="cellIs" dxfId="1403" priority="168" operator="equal">
      <formula>7</formula>
    </cfRule>
    <cfRule type="cellIs" dxfId="1402" priority="174" operator="equal">
      <formula>4</formula>
    </cfRule>
    <cfRule type="cellIs" dxfId="1401" priority="175" operator="equal">
      <formula>5</formula>
    </cfRule>
    <cfRule type="cellIs" dxfId="1400" priority="176" operator="equal">
      <formula>6</formula>
    </cfRule>
    <cfRule type="cellIs" dxfId="1399" priority="169" operator="equal">
      <formula>1</formula>
    </cfRule>
    <cfRule type="cellIs" dxfId="1398" priority="170" operator="equal">
      <formula>"x"</formula>
    </cfRule>
    <cfRule type="cellIs" dxfId="1397" priority="171" operator="equal">
      <formula>1</formula>
    </cfRule>
    <cfRule type="cellIs" dxfId="1396" priority="172" operator="equal">
      <formula>2</formula>
    </cfRule>
    <cfRule type="cellIs" dxfId="1395" priority="173" operator="equal">
      <formula>3</formula>
    </cfRule>
    <cfRule type="cellIs" dxfId="1394" priority="167" operator="equal">
      <formula>6</formula>
    </cfRule>
  </conditionalFormatting>
  <dataValidations count="1">
    <dataValidation type="list" allowBlank="1" showInputMessage="1" showErrorMessage="1" sqref="H760:S775 H160:S175 H60:S75 H110:S125 H260:S275 H310:S325 H360:S375 H410:S425 H460:S475 H510:S525 H560:S575 H610:S625 H660:S675 H710:S725 H210:S225" xr:uid="{00000000-0002-0000-10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000-000001000000}">
          <x14:formula1>
            <xm:f>LEGENDA!$B$5:$B$10</xm:f>
          </x14:formula1>
          <xm:sqref>H8:I9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tabColor rgb="FFFFFF0D"/>
    <pageSetUpPr fitToPage="1"/>
  </sheetPr>
  <dimension ref="A1:AO790"/>
  <sheetViews>
    <sheetView topLeftCell="B1" zoomScale="80" zoomScaleNormal="80" zoomScalePageLayoutView="80" workbookViewId="0">
      <pane ySplit="2" topLeftCell="A3" activePane="bottomLeft" state="frozen"/>
      <selection activeCell="B8" sqref="B8"/>
      <selection pane="bottomLeft" activeCell="H8" sqref="H8:I9"/>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
        <v>122</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c r="M4" s="383"/>
      <c r="N4" s="383"/>
      <c r="O4" s="384"/>
      <c r="P4" s="382"/>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7.75" customHeight="1"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t="e">
        <f ca="1">LEFT(SheetName(A1),1)</f>
        <v>#NAME?</v>
      </c>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c r="G8" s="357" t="e">
        <f ca="1">H4</f>
        <v>#REF!</v>
      </c>
      <c r="H8" s="359">
        <v>0</v>
      </c>
      <c r="I8" s="360"/>
      <c r="J8" s="363"/>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343"/>
      <c r="G10" s="344"/>
      <c r="H10" s="345"/>
      <c r="I10" s="346"/>
      <c r="J10" s="304"/>
      <c r="K10" s="304"/>
      <c r="L10" s="347"/>
      <c r="M10" s="348"/>
      <c r="N10" s="348"/>
      <c r="O10" s="348"/>
      <c r="P10" s="349"/>
      <c r="Q10" s="351"/>
      <c r="R10" s="351"/>
      <c r="S10" s="352"/>
      <c r="T10" s="5"/>
      <c r="U10" s="199">
        <v>0</v>
      </c>
      <c r="V10" s="200" t="s">
        <v>21</v>
      </c>
    </row>
    <row r="11" spans="1:22" ht="15.75" customHeight="1" x14ac:dyDescent="0.35">
      <c r="A11" s="16"/>
      <c r="B11" s="16"/>
      <c r="C11"/>
      <c r="D11" s="376"/>
      <c r="E11" s="326"/>
      <c r="F11" s="306"/>
      <c r="G11" s="308"/>
      <c r="H11" s="302"/>
      <c r="I11" s="303"/>
      <c r="J11" s="305"/>
      <c r="K11" s="305"/>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c r="G12" s="307"/>
      <c r="H12" s="300"/>
      <c r="I12" s="301"/>
      <c r="J12" s="304"/>
      <c r="K12" s="304"/>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c r="K13" s="305"/>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c r="G14" s="344"/>
      <c r="H14" s="300"/>
      <c r="I14" s="301"/>
      <c r="J14" s="304"/>
      <c r="K14" s="304"/>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c r="K15" s="305"/>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c r="G16" s="307"/>
      <c r="H16" s="300"/>
      <c r="I16" s="301"/>
      <c r="J16" s="304"/>
      <c r="K16" s="304"/>
      <c r="L16" s="309"/>
      <c r="M16" s="309"/>
      <c r="N16" s="309"/>
      <c r="O16" s="309"/>
      <c r="P16" s="309"/>
      <c r="Q16" s="310"/>
      <c r="R16" s="310"/>
      <c r="S16" s="311"/>
      <c r="T16" s="5"/>
      <c r="U16" s="5"/>
      <c r="V16" s="5"/>
    </row>
    <row r="17" spans="4:19" ht="15.75" customHeight="1" x14ac:dyDescent="0.35">
      <c r="D17" s="376"/>
      <c r="E17" s="326"/>
      <c r="F17" s="306"/>
      <c r="G17" s="308"/>
      <c r="H17" s="302"/>
      <c r="I17" s="303"/>
      <c r="J17" s="305"/>
      <c r="K17" s="305"/>
      <c r="L17" s="309"/>
      <c r="M17" s="309"/>
      <c r="N17" s="309"/>
      <c r="O17" s="309"/>
      <c r="P17" s="309"/>
      <c r="Q17" s="310"/>
      <c r="R17" s="310"/>
      <c r="S17" s="311"/>
    </row>
    <row r="18" spans="4:19" ht="15.75" customHeight="1" x14ac:dyDescent="0.35">
      <c r="D18" s="376"/>
      <c r="E18" s="325" t="e">
        <f ca="1">HYPERLINK("#B"&amp;TEXT($A$3+$A$4*((ROW()-$A$5)/2),"##"),LEFT($L$2,5)&amp;"."&amp;TEXT((ROW()-$A$5)/2,"0#"))</f>
        <v>#NAME?</v>
      </c>
      <c r="F18" s="306"/>
      <c r="G18" s="307"/>
      <c r="H18" s="300"/>
      <c r="I18" s="301"/>
      <c r="J18" s="304"/>
      <c r="K18" s="304"/>
      <c r="L18" s="309"/>
      <c r="M18" s="309"/>
      <c r="N18" s="309"/>
      <c r="O18" s="309"/>
      <c r="P18" s="309"/>
      <c r="Q18" s="310"/>
      <c r="R18" s="310"/>
      <c r="S18" s="311"/>
    </row>
    <row r="19" spans="4:19" ht="15.75" customHeight="1" x14ac:dyDescent="0.35">
      <c r="D19" s="376"/>
      <c r="E19" s="326"/>
      <c r="F19" s="306"/>
      <c r="G19" s="308"/>
      <c r="H19" s="302"/>
      <c r="I19" s="303"/>
      <c r="J19" s="305"/>
      <c r="K19" s="305"/>
      <c r="L19" s="309"/>
      <c r="M19" s="309"/>
      <c r="N19" s="309"/>
      <c r="O19" s="309"/>
      <c r="P19" s="309"/>
      <c r="Q19" s="310"/>
      <c r="R19" s="310"/>
      <c r="S19" s="311"/>
    </row>
    <row r="20" spans="4:19" ht="15.75" customHeight="1" x14ac:dyDescent="0.35">
      <c r="D20" s="376"/>
      <c r="E20" s="325" t="e">
        <f ca="1">HYPERLINK("#B"&amp;TEXT($A$3+$A$4*((ROW()-$A$5)/2),"##"),LEFT($L$2,5)&amp;"."&amp;TEXT((ROW()-$A$5)/2,"0#"))</f>
        <v>#NAME?</v>
      </c>
      <c r="F20" s="306"/>
      <c r="G20" s="307"/>
      <c r="H20" s="300"/>
      <c r="I20" s="301"/>
      <c r="J20" s="304"/>
      <c r="K20" s="304"/>
      <c r="L20" s="328"/>
      <c r="M20" s="309"/>
      <c r="N20" s="309"/>
      <c r="O20" s="309"/>
      <c r="P20" s="309"/>
      <c r="Q20" s="310"/>
      <c r="R20" s="310"/>
      <c r="S20" s="311"/>
    </row>
    <row r="21" spans="4:19" ht="15.75" customHeight="1" thickBot="1" x14ac:dyDescent="0.4">
      <c r="D21" s="377"/>
      <c r="E21" s="326"/>
      <c r="F21" s="306"/>
      <c r="G21" s="308"/>
      <c r="H21" s="302"/>
      <c r="I21" s="303"/>
      <c r="J21" s="305"/>
      <c r="K21" s="305"/>
      <c r="L21" s="309"/>
      <c r="M21" s="309"/>
      <c r="N21" s="309"/>
      <c r="O21" s="309"/>
      <c r="P21" s="309"/>
      <c r="Q21" s="310"/>
      <c r="R21" s="310"/>
      <c r="S21" s="311"/>
    </row>
    <row r="22" spans="4:19" ht="15.75" customHeight="1" x14ac:dyDescent="0.35">
      <c r="D22" s="15" t="s">
        <v>37</v>
      </c>
      <c r="E22" s="325" t="e">
        <f ca="1">HYPERLINK("#B"&amp;TEXT($A$3+$A$4*((ROW()-$A$5)/2),"##"),LEFT($L$2,5)&amp;"."&amp;TEXT((ROW()-$A$5)/2,"0#"))</f>
        <v>#NAME?</v>
      </c>
      <c r="F22" s="306"/>
      <c r="G22" s="307"/>
      <c r="H22" s="300"/>
      <c r="I22" s="301"/>
      <c r="J22" s="304"/>
      <c r="K22" s="304"/>
      <c r="L22" s="309"/>
      <c r="M22" s="309"/>
      <c r="N22" s="309"/>
      <c r="O22" s="309"/>
      <c r="P22" s="309"/>
      <c r="Q22" s="310"/>
      <c r="R22" s="310"/>
      <c r="S22" s="311"/>
    </row>
    <row r="23" spans="4:19" ht="15.75" customHeight="1" thickBot="1" x14ac:dyDescent="0.4">
      <c r="D23" s="15" t="s">
        <v>40</v>
      </c>
      <c r="E23" s="326"/>
      <c r="F23" s="306"/>
      <c r="G23" s="308"/>
      <c r="H23" s="302"/>
      <c r="I23" s="303"/>
      <c r="J23" s="305"/>
      <c r="K23" s="305"/>
      <c r="L23" s="309"/>
      <c r="M23" s="309"/>
      <c r="N23" s="309"/>
      <c r="O23" s="309"/>
      <c r="P23" s="309"/>
      <c r="Q23" s="310"/>
      <c r="R23" s="310"/>
      <c r="S23" s="311"/>
    </row>
    <row r="24" spans="4:19" ht="15.75" customHeight="1" x14ac:dyDescent="0.35">
      <c r="D24" s="322"/>
      <c r="E24" s="325" t="e">
        <f ca="1">HYPERLINK("#B"&amp;TEXT($A$3+$A$4*((ROW()-$A$5)/2),"##"),LEFT($L$2,5)&amp;"."&amp;TEXT((ROW()-$A$5)/2,"0#"))</f>
        <v>#NAME?</v>
      </c>
      <c r="F24" s="306"/>
      <c r="G24" s="307"/>
      <c r="H24" s="300"/>
      <c r="I24" s="301"/>
      <c r="J24" s="304"/>
      <c r="K24" s="304"/>
      <c r="L24" s="309"/>
      <c r="M24" s="309"/>
      <c r="N24" s="309"/>
      <c r="O24" s="309"/>
      <c r="P24" s="309"/>
      <c r="Q24" s="310"/>
      <c r="R24" s="310"/>
      <c r="S24" s="311"/>
    </row>
    <row r="25" spans="4:19" ht="15.75" customHeight="1" x14ac:dyDescent="0.35">
      <c r="D25" s="323"/>
      <c r="E25" s="326"/>
      <c r="F25" s="306"/>
      <c r="G25" s="308"/>
      <c r="H25" s="302"/>
      <c r="I25" s="303"/>
      <c r="J25" s="305"/>
      <c r="K25" s="305"/>
      <c r="L25" s="309"/>
      <c r="M25" s="309"/>
      <c r="N25" s="309"/>
      <c r="O25" s="309"/>
      <c r="P25" s="309"/>
      <c r="Q25" s="310"/>
      <c r="R25" s="310"/>
      <c r="S25" s="311"/>
    </row>
    <row r="26" spans="4:19" ht="15.75" customHeight="1" x14ac:dyDescent="0.35">
      <c r="D26" s="323"/>
      <c r="E26" s="325" t="e">
        <f ca="1">HYPERLINK("#B"&amp;TEXT($A$3+$A$4*((ROW()-$A$5)/2),"##"),LEFT($L$2,5)&amp;"."&amp;TEXT((ROW()-$A$5)/2,"0#"))</f>
        <v>#NAME?</v>
      </c>
      <c r="F26" s="306"/>
      <c r="G26" s="307"/>
      <c r="H26" s="300"/>
      <c r="I26" s="301"/>
      <c r="J26" s="304"/>
      <c r="K26" s="304"/>
      <c r="L26" s="328"/>
      <c r="M26" s="309"/>
      <c r="N26" s="309"/>
      <c r="O26" s="309"/>
      <c r="P26" s="309"/>
      <c r="Q26" s="310"/>
      <c r="R26" s="310"/>
      <c r="S26" s="311"/>
    </row>
    <row r="27" spans="4:19" ht="15.75" customHeight="1" thickBot="1" x14ac:dyDescent="0.4">
      <c r="D27" s="327"/>
      <c r="E27" s="326"/>
      <c r="F27" s="306"/>
      <c r="G27" s="308"/>
      <c r="H27" s="302"/>
      <c r="I27" s="303"/>
      <c r="J27" s="305"/>
      <c r="K27" s="305"/>
      <c r="L27" s="309"/>
      <c r="M27" s="309"/>
      <c r="N27" s="309"/>
      <c r="O27" s="309"/>
      <c r="P27" s="309"/>
      <c r="Q27" s="310"/>
      <c r="R27" s="310"/>
      <c r="S27" s="311"/>
    </row>
    <row r="28" spans="4:19" ht="15.75" customHeight="1" x14ac:dyDescent="0.35">
      <c r="D28" s="322"/>
      <c r="E28" s="325" t="e">
        <f ca="1">HYPERLINK("#B"&amp;TEXT($A$3+$A$4*((ROW()-$A$5)/2),"##"),LEFT($L$2,5)&amp;"."&amp;TEXT((ROW()-$A$5)/2,"0#"))</f>
        <v>#NAME?</v>
      </c>
      <c r="F28" s="306"/>
      <c r="G28" s="307"/>
      <c r="H28" s="300"/>
      <c r="I28" s="301"/>
      <c r="J28" s="304"/>
      <c r="K28" s="304"/>
      <c r="L28" s="328"/>
      <c r="M28" s="309"/>
      <c r="N28" s="309"/>
      <c r="O28" s="309"/>
      <c r="P28" s="309"/>
      <c r="Q28" s="310"/>
      <c r="R28" s="310"/>
      <c r="S28" s="311"/>
    </row>
    <row r="29" spans="4:19" ht="15.75" customHeight="1" x14ac:dyDescent="0.35">
      <c r="D29" s="323"/>
      <c r="E29" s="326"/>
      <c r="F29" s="306"/>
      <c r="G29" s="308"/>
      <c r="H29" s="302"/>
      <c r="I29" s="303"/>
      <c r="J29" s="305"/>
      <c r="K29" s="305"/>
      <c r="L29" s="309"/>
      <c r="M29" s="309"/>
      <c r="N29" s="309"/>
      <c r="O29" s="309"/>
      <c r="P29" s="309"/>
      <c r="Q29" s="310"/>
      <c r="R29" s="310"/>
      <c r="S29" s="311"/>
    </row>
    <row r="30" spans="4:19" ht="15.75" customHeight="1" x14ac:dyDescent="0.35">
      <c r="D30" s="323"/>
      <c r="E30" s="325" t="e">
        <f ca="1">HYPERLINK("#B"&amp;TEXT($A$3+$A$4*((ROW()-$A$5)/2),"##"),LEFT($L$2,5)&amp;"."&amp;TEXT((ROW()-$A$5)/2,"0#"))</f>
        <v>#NAME?</v>
      </c>
      <c r="F30" s="306"/>
      <c r="G30" s="307"/>
      <c r="H30" s="300"/>
      <c r="I30" s="301"/>
      <c r="J30" s="304"/>
      <c r="K30" s="304"/>
      <c r="L30" s="309"/>
      <c r="M30" s="309"/>
      <c r="N30" s="309"/>
      <c r="O30" s="309"/>
      <c r="P30" s="309"/>
      <c r="Q30" s="310"/>
      <c r="R30" s="310"/>
      <c r="S30" s="311"/>
    </row>
    <row r="31" spans="4:19" ht="15.75" customHeight="1" thickBot="1" x14ac:dyDescent="0.4">
      <c r="D31" s="327"/>
      <c r="E31" s="326"/>
      <c r="F31" s="306"/>
      <c r="G31" s="308"/>
      <c r="H31" s="302"/>
      <c r="I31" s="303"/>
      <c r="J31" s="305"/>
      <c r="K31" s="305"/>
      <c r="L31" s="309"/>
      <c r="M31" s="309"/>
      <c r="N31" s="309"/>
      <c r="O31" s="309"/>
      <c r="P31" s="309"/>
      <c r="Q31" s="310"/>
      <c r="R31" s="310"/>
      <c r="S31" s="311"/>
    </row>
    <row r="32" spans="4:19" ht="15.75" customHeight="1" x14ac:dyDescent="0.35">
      <c r="D32" s="322"/>
      <c r="E32" s="325" t="e">
        <f ca="1">HYPERLINK("#B"&amp;TEXT($A$3+$A$4*((ROW()-$A$5)/2),"##"),LEFT($L$2,5)&amp;"."&amp;TEXT((ROW()-$A$5)/2,"0#"))</f>
        <v>#NAME?</v>
      </c>
      <c r="F32" s="306"/>
      <c r="G32" s="307"/>
      <c r="H32" s="300"/>
      <c r="I32" s="301"/>
      <c r="J32" s="304"/>
      <c r="K32" s="304"/>
      <c r="L32" s="309"/>
      <c r="M32" s="309"/>
      <c r="N32" s="309"/>
      <c r="O32" s="309"/>
      <c r="P32" s="309"/>
      <c r="Q32" s="310"/>
      <c r="R32" s="310"/>
      <c r="S32" s="311"/>
    </row>
    <row r="33" spans="4:19" ht="15.75" customHeight="1" x14ac:dyDescent="0.35">
      <c r="D33" s="323"/>
      <c r="E33" s="326"/>
      <c r="F33" s="306"/>
      <c r="G33" s="308"/>
      <c r="H33" s="302"/>
      <c r="I33" s="303"/>
      <c r="J33" s="305"/>
      <c r="K33" s="305"/>
      <c r="L33" s="309"/>
      <c r="M33" s="309"/>
      <c r="N33" s="309"/>
      <c r="O33" s="309"/>
      <c r="P33" s="309"/>
      <c r="Q33" s="310"/>
      <c r="R33" s="310"/>
      <c r="S33" s="311"/>
    </row>
    <row r="34" spans="4:19" ht="15.75" customHeight="1" x14ac:dyDescent="0.35">
      <c r="D34" s="323"/>
      <c r="E34" s="325" t="e">
        <f ca="1">HYPERLINK("#B"&amp;TEXT($A$3+$A$4*((ROW()-$A$5)/2),"##"),LEFT($L$2,5)&amp;"."&amp;TEXT((ROW()-$A$5)/2,"0#"))</f>
        <v>#NAME?</v>
      </c>
      <c r="F34" s="306"/>
      <c r="G34" s="307"/>
      <c r="H34" s="300"/>
      <c r="I34" s="301"/>
      <c r="J34" s="304"/>
      <c r="K34" s="304"/>
      <c r="L34" s="309"/>
      <c r="M34" s="309"/>
      <c r="N34" s="309"/>
      <c r="O34" s="309"/>
      <c r="P34" s="309"/>
      <c r="Q34" s="310"/>
      <c r="R34" s="310"/>
      <c r="S34" s="311"/>
    </row>
    <row r="35" spans="4:19" ht="15.75" customHeight="1" thickBot="1" x14ac:dyDescent="0.4">
      <c r="D35" s="327"/>
      <c r="E35" s="326"/>
      <c r="F35" s="306"/>
      <c r="G35" s="308"/>
      <c r="H35" s="302"/>
      <c r="I35" s="303"/>
      <c r="J35" s="305"/>
      <c r="K35" s="305"/>
      <c r="L35" s="309"/>
      <c r="M35" s="309"/>
      <c r="N35" s="309"/>
      <c r="O35" s="309"/>
      <c r="P35" s="309"/>
      <c r="Q35" s="310"/>
      <c r="R35" s="310"/>
      <c r="S35" s="311"/>
    </row>
    <row r="36" spans="4:19" ht="15.75" customHeight="1" x14ac:dyDescent="0.35">
      <c r="D36" s="322"/>
      <c r="E36" s="325" t="e">
        <f ca="1">HYPERLINK("#B"&amp;TEXT($A$3+$A$4*((ROW()-$A$5)/2),"##"),LEFT($L$2,5)&amp;"."&amp;TEXT((ROW()-$A$5)/2,"0#"))</f>
        <v>#NAME?</v>
      </c>
      <c r="F36" s="306"/>
      <c r="G36" s="307"/>
      <c r="H36" s="300"/>
      <c r="I36" s="301"/>
      <c r="J36" s="304"/>
      <c r="K36" s="304"/>
      <c r="L36" s="309"/>
      <c r="M36" s="309"/>
      <c r="N36" s="309"/>
      <c r="O36" s="309"/>
      <c r="P36" s="309"/>
      <c r="Q36" s="310"/>
      <c r="R36" s="310"/>
      <c r="S36" s="311"/>
    </row>
    <row r="37" spans="4:19" ht="15.75" customHeight="1" x14ac:dyDescent="0.35">
      <c r="D37" s="323"/>
      <c r="E37" s="326"/>
      <c r="F37" s="306"/>
      <c r="G37" s="308"/>
      <c r="H37" s="302"/>
      <c r="I37" s="303"/>
      <c r="J37" s="305"/>
      <c r="K37" s="305"/>
      <c r="L37" s="309"/>
      <c r="M37" s="309"/>
      <c r="N37" s="309"/>
      <c r="O37" s="309"/>
      <c r="P37" s="309"/>
      <c r="Q37" s="310"/>
      <c r="R37" s="310"/>
      <c r="S37" s="311"/>
    </row>
    <row r="38" spans="4:19" ht="15.75" customHeight="1" x14ac:dyDescent="0.35">
      <c r="D38" s="323"/>
      <c r="E38" s="312" t="e">
        <f ca="1">HYPERLINK("#B"&amp;TEXT($A$3+$A$4*((ROW()-$A$5)/2),"##"),LEFT($L$2,5)&amp;"."&amp;TEXT((ROW()-$A$5)/2,"0#"))</f>
        <v>#NAME?</v>
      </c>
      <c r="F38" s="306"/>
      <c r="G38" s="307"/>
      <c r="H38" s="300"/>
      <c r="I38" s="301"/>
      <c r="J38" s="305"/>
      <c r="K38" s="305"/>
      <c r="L38" s="309"/>
      <c r="M38" s="309"/>
      <c r="N38" s="309"/>
      <c r="O38" s="309"/>
      <c r="P38" s="309"/>
      <c r="Q38" s="310"/>
      <c r="R38" s="310"/>
      <c r="S38" s="311"/>
    </row>
    <row r="39" spans="4:19" ht="15.75" customHeight="1" thickBot="1" x14ac:dyDescent="0.4">
      <c r="D39" s="324"/>
      <c r="E39" s="313"/>
      <c r="F39" s="314"/>
      <c r="G39" s="315"/>
      <c r="H39" s="316"/>
      <c r="I39" s="317"/>
      <c r="J39" s="318"/>
      <c r="K39" s="318"/>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f ca="1">OFFSET($G$7,2*(D53+1)-1,0)</f>
        <v>0</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164</v>
      </c>
      <c r="G61" s="72" t="s">
        <v>165</v>
      </c>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166</v>
      </c>
      <c r="G62" s="72" t="s">
        <v>165</v>
      </c>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167</v>
      </c>
      <c r="G63" s="72" t="s">
        <v>165</v>
      </c>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f ca="1">OFFSET($G$7,2*(D103+1)-1,0)</f>
        <v>0</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168</v>
      </c>
      <c r="G111" s="72" t="s">
        <v>169</v>
      </c>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170</v>
      </c>
      <c r="G112" s="72" t="s">
        <v>169</v>
      </c>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f ca="1">OFFSET($G$7,2*(D153+1)-1,0)</f>
        <v>0</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171</v>
      </c>
      <c r="G161" s="72" t="s">
        <v>165</v>
      </c>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172</v>
      </c>
      <c r="G162" s="79" t="s">
        <v>173</v>
      </c>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f ca="1">OFFSET($G$7,2*(D203+1)-1,0)</f>
        <v>0</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174</v>
      </c>
      <c r="G211" s="79" t="s">
        <v>175</v>
      </c>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176</v>
      </c>
      <c r="G212" s="79" t="s">
        <v>177</v>
      </c>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178</v>
      </c>
      <c r="G213" s="79" t="s">
        <v>175</v>
      </c>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f ca="1">OFFSET($G$7,2*(D253+1)-1,0)</f>
        <v>0</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f ca="1">OFFSET($G$7,2*(D303+1)-1,0)</f>
        <v>0</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f ca="1">OFFSET($G$7,2*(D353+1)-1,0)</f>
        <v>0</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f ca="1">OFFSET($G$7,2*(D403+1)-1,0)</f>
        <v>0</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f ca="1">OFFSET($G$7,2*(D453+1)-1,0)</f>
        <v>0</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f ca="1">OFFSET($G$7,2*(D503+1)-1,0)</f>
        <v>0</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f ca="1">OFFSET($G$7,2*(D553+1)-1,0)</f>
        <v>0</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f ca="1">OFFSET($G$7,2*(D603+1)-1,0)</f>
        <v>0</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f ca="1">OFFSET($G$7,2*(D653+1)-1,0)</f>
        <v>0</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f ca="1">OFFSET($G$7,2*(D703+1)-1,0)</f>
        <v>0</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f ca="1">OFFSET($G$7,2*(D753+1)-1,0)</f>
        <v>0</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1393" priority="70" stopIfTrue="1">
      <formula>IF(LEFT($A$7,2)="01",1,0)</formula>
    </cfRule>
    <cfRule type="expression" dxfId="1392" priority="76" stopIfTrue="1">
      <formula>IF(LEFT($A$7,2)="03",1,0)</formula>
    </cfRule>
    <cfRule type="expression" dxfId="1391" priority="77" stopIfTrue="1">
      <formula>IF(LEFT($A$7,2)="04",1,0)</formula>
    </cfRule>
    <cfRule type="expression" dxfId="1390" priority="78">
      <formula>IF(LEFT($A$7,2)="05",1,0)</formula>
    </cfRule>
    <cfRule type="expression" dxfId="1389" priority="75" stopIfTrue="1">
      <formula>IF(LEFT($A$7,2)="02",1,0)</formula>
    </cfRule>
  </conditionalFormatting>
  <conditionalFormatting sqref="D4:S4">
    <cfRule type="expression" dxfId="1388" priority="72">
      <formula>IF(LEFT($A$7,2)="03",1,0)</formula>
    </cfRule>
    <cfRule type="expression" dxfId="1387" priority="73">
      <formula>IF(LEFT($A$7,2)="04",1,0)</formula>
    </cfRule>
    <cfRule type="expression" dxfId="1386" priority="74">
      <formula>IF(LEFT($A$7,2)="05",1,0)</formula>
    </cfRule>
    <cfRule type="expression" dxfId="1385" priority="69">
      <formula>IF(LEFT($A$7,2)="01",1,0)</formula>
    </cfRule>
    <cfRule type="expression" dxfId="1384" priority="71">
      <formula>IF(LEFT($A$7,2)="02",1,0)</formula>
    </cfRule>
  </conditionalFormatting>
  <conditionalFormatting sqref="D54:S54">
    <cfRule type="expression" dxfId="1383" priority="377">
      <formula>IF(LEFT($A$7,2)="04",1,0)</formula>
    </cfRule>
    <cfRule type="expression" dxfId="1382" priority="374">
      <formula>IF(LEFT($A$7,2)="01",1,0)</formula>
    </cfRule>
    <cfRule type="expression" dxfId="1381" priority="375">
      <formula>IF(LEFT($A$7,2)="02",1,0)</formula>
    </cfRule>
    <cfRule type="expression" dxfId="1380" priority="376">
      <formula>IF(LEFT($A$7,2)="03",1,0)</formula>
    </cfRule>
    <cfRule type="expression" dxfId="1379" priority="378">
      <formula>IF(LEFT($A$7,2)="05",1,0)</formula>
    </cfRule>
  </conditionalFormatting>
  <conditionalFormatting sqref="D104:S104">
    <cfRule type="expression" dxfId="1378" priority="288">
      <formula>IF(LEFT($A$7,2)="05",1,0)</formula>
    </cfRule>
    <cfRule type="expression" dxfId="1377" priority="287">
      <formula>IF(LEFT($A$7,2)="04",1,0)</formula>
    </cfRule>
    <cfRule type="expression" dxfId="1376" priority="286">
      <formula>IF(LEFT($A$7,2)="03",1,0)</formula>
    </cfRule>
    <cfRule type="expression" dxfId="1375" priority="285">
      <formula>IF(LEFT($A$7,2)="02",1,0)</formula>
    </cfRule>
    <cfRule type="expression" dxfId="1374" priority="284">
      <formula>IF(LEFT($A$7,2)="01",1,0)</formula>
    </cfRule>
  </conditionalFormatting>
  <conditionalFormatting sqref="D154:S154">
    <cfRule type="expression" dxfId="1373" priority="282">
      <formula>IF(LEFT($A$7,2)="04",1,0)</formula>
    </cfRule>
    <cfRule type="expression" dxfId="1372" priority="283">
      <formula>IF(LEFT($A$7,2)="05",1,0)</formula>
    </cfRule>
    <cfRule type="expression" dxfId="1371" priority="281">
      <formula>IF(LEFT($A$7,2)="03",1,0)</formula>
    </cfRule>
    <cfRule type="expression" dxfId="1370" priority="280">
      <formula>IF(LEFT($A$7,2)="02",1,0)</formula>
    </cfRule>
    <cfRule type="expression" dxfId="1369" priority="279">
      <formula>IF(LEFT($A$7,2)="01",1,0)</formula>
    </cfRule>
  </conditionalFormatting>
  <conditionalFormatting sqref="D204:S204">
    <cfRule type="expression" dxfId="1368" priority="274">
      <formula>IF(LEFT($A$7,2)="01",1,0)</formula>
    </cfRule>
    <cfRule type="expression" dxfId="1367" priority="276">
      <formula>IF(LEFT($A$7,2)="03",1,0)</formula>
    </cfRule>
    <cfRule type="expression" dxfId="1366" priority="278">
      <formula>IF(LEFT($A$7,2)="05",1,0)</formula>
    </cfRule>
    <cfRule type="expression" dxfId="1365" priority="277">
      <formula>IF(LEFT($A$7,2)="04",1,0)</formula>
    </cfRule>
    <cfRule type="expression" dxfId="1364" priority="275">
      <formula>IF(LEFT($A$7,2)="02",1,0)</formula>
    </cfRule>
  </conditionalFormatting>
  <conditionalFormatting sqref="D254:S254">
    <cfRule type="expression" dxfId="1363" priority="271">
      <formula>IF(LEFT($A$7,2)="03",1,0)</formula>
    </cfRule>
    <cfRule type="expression" dxfId="1362" priority="272">
      <formula>IF(LEFT($A$7,2)="04",1,0)</formula>
    </cfRule>
    <cfRule type="expression" dxfId="1361" priority="273">
      <formula>IF(LEFT($A$7,2)="05",1,0)</formula>
    </cfRule>
    <cfRule type="expression" dxfId="1360" priority="269">
      <formula>IF(LEFT($A$7,2)="01",1,0)</formula>
    </cfRule>
    <cfRule type="expression" dxfId="1359" priority="270">
      <formula>IF(LEFT($A$7,2)="02",1,0)</formula>
    </cfRule>
  </conditionalFormatting>
  <conditionalFormatting sqref="D304:S304">
    <cfRule type="expression" dxfId="1358" priority="267">
      <formula>IF(LEFT($A$7,2)="04",1,0)</formula>
    </cfRule>
    <cfRule type="expression" dxfId="1357" priority="268">
      <formula>IF(LEFT($A$7,2)="05",1,0)</formula>
    </cfRule>
    <cfRule type="expression" dxfId="1356" priority="266">
      <formula>IF(LEFT($A$7,2)="03",1,0)</formula>
    </cfRule>
    <cfRule type="expression" dxfId="1355" priority="265">
      <formula>IF(LEFT($A$7,2)="02",1,0)</formula>
    </cfRule>
    <cfRule type="expression" dxfId="1354" priority="264">
      <formula>IF(LEFT($A$7,2)="01",1,0)</formula>
    </cfRule>
  </conditionalFormatting>
  <conditionalFormatting sqref="D354:S354">
    <cfRule type="expression" dxfId="1353" priority="260">
      <formula>IF(LEFT($A$7,2)="02",1,0)</formula>
    </cfRule>
    <cfRule type="expression" dxfId="1352" priority="263">
      <formula>IF(LEFT($A$7,2)="05",1,0)</formula>
    </cfRule>
    <cfRule type="expression" dxfId="1351" priority="262">
      <formula>IF(LEFT($A$7,2)="04",1,0)</formula>
    </cfRule>
    <cfRule type="expression" dxfId="1350" priority="261">
      <formula>IF(LEFT($A$7,2)="03",1,0)</formula>
    </cfRule>
    <cfRule type="expression" dxfId="1349" priority="259">
      <formula>IF(LEFT($A$7,2)="01",1,0)</formula>
    </cfRule>
  </conditionalFormatting>
  <conditionalFormatting sqref="D404:S404">
    <cfRule type="expression" dxfId="1348" priority="254">
      <formula>IF(LEFT($A$7,2)="01",1,0)</formula>
    </cfRule>
    <cfRule type="expression" dxfId="1347" priority="257">
      <formula>IF(LEFT($A$7,2)="04",1,0)</formula>
    </cfRule>
    <cfRule type="expression" dxfId="1346" priority="256">
      <formula>IF(LEFT($A$7,2)="03",1,0)</formula>
    </cfRule>
    <cfRule type="expression" dxfId="1345" priority="255">
      <formula>IF(LEFT($A$7,2)="02",1,0)</formula>
    </cfRule>
    <cfRule type="expression" dxfId="1344" priority="258">
      <formula>IF(LEFT($A$7,2)="05",1,0)</formula>
    </cfRule>
  </conditionalFormatting>
  <conditionalFormatting sqref="D454:S454">
    <cfRule type="expression" dxfId="1343" priority="253">
      <formula>IF(LEFT($A$7,2)="05",1,0)</formula>
    </cfRule>
    <cfRule type="expression" dxfId="1342" priority="252">
      <formula>IF(LEFT($A$7,2)="04",1,0)</formula>
    </cfRule>
    <cfRule type="expression" dxfId="1341" priority="251">
      <formula>IF(LEFT($A$7,2)="03",1,0)</formula>
    </cfRule>
    <cfRule type="expression" dxfId="1340" priority="250">
      <formula>IF(LEFT($A$7,2)="02",1,0)</formula>
    </cfRule>
    <cfRule type="expression" dxfId="1339" priority="249">
      <formula>IF(LEFT($A$7,2)="01",1,0)</formula>
    </cfRule>
  </conditionalFormatting>
  <conditionalFormatting sqref="D504:S504">
    <cfRule type="expression" dxfId="1338" priority="247">
      <formula>IF(LEFT($A$7,2)="04",1,0)</formula>
    </cfRule>
    <cfRule type="expression" dxfId="1337" priority="248">
      <formula>IF(LEFT($A$7,2)="05",1,0)</formula>
    </cfRule>
    <cfRule type="expression" dxfId="1336" priority="246">
      <formula>IF(LEFT($A$7,2)="03",1,0)</formula>
    </cfRule>
    <cfRule type="expression" dxfId="1335" priority="245">
      <formula>IF(LEFT($A$7,2)="02",1,0)</formula>
    </cfRule>
    <cfRule type="expression" dxfId="1334" priority="244">
      <formula>IF(LEFT($A$7,2)="01",1,0)</formula>
    </cfRule>
  </conditionalFormatting>
  <conditionalFormatting sqref="D554:S554">
    <cfRule type="expression" dxfId="1333" priority="241">
      <formula>IF(LEFT($A$7,2)="03",1,0)</formula>
    </cfRule>
    <cfRule type="expression" dxfId="1332" priority="242">
      <formula>IF(LEFT($A$7,2)="04",1,0)</formula>
    </cfRule>
    <cfRule type="expression" dxfId="1331" priority="240">
      <formula>IF(LEFT($A$7,2)="02",1,0)</formula>
    </cfRule>
    <cfRule type="expression" dxfId="1330" priority="243">
      <formula>IF(LEFT($A$7,2)="05",1,0)</formula>
    </cfRule>
    <cfRule type="expression" dxfId="1329" priority="239">
      <formula>IF(LEFT($A$7,2)="01",1,0)</formula>
    </cfRule>
  </conditionalFormatting>
  <conditionalFormatting sqref="D604:S604">
    <cfRule type="expression" dxfId="1328" priority="236">
      <formula>IF(LEFT($A$7,2)="03",1,0)</formula>
    </cfRule>
    <cfRule type="expression" dxfId="1327" priority="235">
      <formula>IF(LEFT($A$7,2)="02",1,0)</formula>
    </cfRule>
    <cfRule type="expression" dxfId="1326" priority="234">
      <formula>IF(LEFT($A$7,2)="01",1,0)</formula>
    </cfRule>
    <cfRule type="expression" dxfId="1325" priority="238">
      <formula>IF(LEFT($A$7,2)="05",1,0)</formula>
    </cfRule>
    <cfRule type="expression" dxfId="1324" priority="237">
      <formula>IF(LEFT($A$7,2)="04",1,0)</formula>
    </cfRule>
  </conditionalFormatting>
  <conditionalFormatting sqref="D654:S654">
    <cfRule type="expression" dxfId="1323" priority="233">
      <formula>IF(LEFT($A$7,2)="05",1,0)</formula>
    </cfRule>
    <cfRule type="expression" dxfId="1322" priority="232">
      <formula>IF(LEFT($A$7,2)="04",1,0)</formula>
    </cfRule>
    <cfRule type="expression" dxfId="1321" priority="231">
      <formula>IF(LEFT($A$7,2)="03",1,0)</formula>
    </cfRule>
    <cfRule type="expression" dxfId="1320" priority="230">
      <formula>IF(LEFT($A$7,2)="02",1,0)</formula>
    </cfRule>
    <cfRule type="expression" dxfId="1319" priority="229">
      <formula>IF(LEFT($A$7,2)="01",1,0)</formula>
    </cfRule>
  </conditionalFormatting>
  <conditionalFormatting sqref="D704:S704">
    <cfRule type="expression" dxfId="1318" priority="225">
      <formula>IF(LEFT($A$7,2)="02",1,0)</formula>
    </cfRule>
    <cfRule type="expression" dxfId="1317" priority="224">
      <formula>IF(LEFT($A$7,2)="01",1,0)</formula>
    </cfRule>
    <cfRule type="expression" dxfId="1316" priority="228">
      <formula>IF(LEFT($A$7,2)="05",1,0)</formula>
    </cfRule>
    <cfRule type="expression" dxfId="1315" priority="227">
      <formula>IF(LEFT($A$7,2)="04",1,0)</formula>
    </cfRule>
    <cfRule type="expression" dxfId="1314" priority="226">
      <formula>IF(LEFT($A$7,2)="03",1,0)</formula>
    </cfRule>
  </conditionalFormatting>
  <conditionalFormatting sqref="D754:S754">
    <cfRule type="expression" dxfId="1313" priority="222">
      <formula>IF(LEFT($A$7,2)="04",1,0)</formula>
    </cfRule>
    <cfRule type="expression" dxfId="1312" priority="221">
      <formula>IF(LEFT($A$7,2)="03",1,0)</formula>
    </cfRule>
    <cfRule type="expression" dxfId="1311" priority="220">
      <formula>IF(LEFT($A$7,2)="02",1,0)</formula>
    </cfRule>
    <cfRule type="expression" dxfId="1310" priority="219">
      <formula>IF(LEFT($A$7,2)="01",1,0)</formula>
    </cfRule>
    <cfRule type="expression" dxfId="1309" priority="223">
      <formula>IF(LEFT($A$7,2)="05",1,0)</formula>
    </cfRule>
  </conditionalFormatting>
  <conditionalFormatting sqref="G8">
    <cfRule type="cellIs" dxfId="1308" priority="101" operator="equal">
      <formula>1</formula>
    </cfRule>
    <cfRule type="cellIs" dxfId="1307" priority="102" operator="equal">
      <formula>2</formula>
    </cfRule>
    <cfRule type="cellIs" dxfId="1306" priority="103" operator="equal">
      <formula>3</formula>
    </cfRule>
    <cfRule type="cellIs" dxfId="1305" priority="104" operator="equal">
      <formula>4</formula>
    </cfRule>
    <cfRule type="cellIs" dxfId="1304" priority="105" operator="equal">
      <formula>5</formula>
    </cfRule>
    <cfRule type="cellIs" dxfId="1303" priority="106" operator="equal">
      <formula>6</formula>
    </cfRule>
    <cfRule type="cellIs" dxfId="1302" priority="98" operator="equal">
      <formula>7</formula>
    </cfRule>
    <cfRule type="cellIs" dxfId="1301" priority="93" operator="equal">
      <formula>2</formula>
    </cfRule>
    <cfRule type="cellIs" dxfId="1300" priority="94" operator="equal">
      <formula>3</formula>
    </cfRule>
    <cfRule type="cellIs" dxfId="1299" priority="95" operator="equal">
      <formula>4</formula>
    </cfRule>
    <cfRule type="cellIs" dxfId="1298" priority="96" operator="equal">
      <formula>5</formula>
    </cfRule>
    <cfRule type="cellIs" dxfId="1297" priority="97" operator="equal">
      <formula>6</formula>
    </cfRule>
    <cfRule type="cellIs" dxfId="1296" priority="100" operator="equal">
      <formula>"x"</formula>
    </cfRule>
  </conditionalFormatting>
  <conditionalFormatting sqref="G10 G12">
    <cfRule type="cellIs" dxfId="1295" priority="61" operator="equal">
      <formula>5</formula>
    </cfRule>
    <cfRule type="cellIs" dxfId="1294" priority="60" operator="equal">
      <formula>4</formula>
    </cfRule>
    <cfRule type="cellIs" dxfId="1293" priority="59" operator="equal">
      <formula>3</formula>
    </cfRule>
    <cfRule type="cellIs" dxfId="1292" priority="58" operator="equal">
      <formula>2</formula>
    </cfRule>
    <cfRule type="cellIs" dxfId="1291" priority="57" operator="equal">
      <formula>1</formula>
    </cfRule>
    <cfRule type="cellIs" dxfId="1290" priority="56" operator="equal">
      <formula>"x"</formula>
    </cfRule>
    <cfRule type="cellIs" dxfId="1289" priority="54" operator="equal">
      <formula>7</formula>
    </cfRule>
    <cfRule type="cellIs" dxfId="1288" priority="51" operator="equal">
      <formula>4</formula>
    </cfRule>
    <cfRule type="cellIs" dxfId="1287" priority="53" operator="equal">
      <formula>6</formula>
    </cfRule>
    <cfRule type="cellIs" dxfId="1286" priority="52" operator="equal">
      <formula>5</formula>
    </cfRule>
    <cfRule type="cellIs" dxfId="1285" priority="50" operator="equal">
      <formula>3</formula>
    </cfRule>
    <cfRule type="cellIs" dxfId="1284" priority="49" operator="equal">
      <formula>2</formula>
    </cfRule>
    <cfRule type="cellIs" dxfId="1283" priority="62" operator="equal">
      <formula>6</formula>
    </cfRule>
  </conditionalFormatting>
  <conditionalFormatting sqref="G14">
    <cfRule type="cellIs" dxfId="1282" priority="9" operator="equal">
      <formula>1</formula>
    </cfRule>
    <cfRule type="cellIs" dxfId="1281" priority="6" operator="equal">
      <formula>7</formula>
    </cfRule>
    <cfRule type="cellIs" dxfId="1280" priority="5" operator="equal">
      <formula>6</formula>
    </cfRule>
    <cfRule type="cellIs" dxfId="1279" priority="4" operator="equal">
      <formula>5</formula>
    </cfRule>
    <cfRule type="cellIs" dxfId="1278" priority="3" operator="equal">
      <formula>4</formula>
    </cfRule>
    <cfRule type="cellIs" dxfId="1277" priority="2" operator="equal">
      <formula>3</formula>
    </cfRule>
    <cfRule type="cellIs" dxfId="1276" priority="8" operator="equal">
      <formula>"x"</formula>
    </cfRule>
    <cfRule type="cellIs" dxfId="1275" priority="1" operator="equal">
      <formula>2</formula>
    </cfRule>
    <cfRule type="cellIs" dxfId="1274" priority="14" operator="equal">
      <formula>6</formula>
    </cfRule>
    <cfRule type="cellIs" dxfId="1273" priority="13" operator="equal">
      <formula>5</formula>
    </cfRule>
    <cfRule type="cellIs" dxfId="1272" priority="12" operator="equal">
      <formula>4</formula>
    </cfRule>
    <cfRule type="cellIs" dxfId="1271" priority="11" operator="equal">
      <formula>3</formula>
    </cfRule>
    <cfRule type="cellIs" dxfId="1270" priority="10" operator="equal">
      <formula>2</formula>
    </cfRule>
  </conditionalFormatting>
  <conditionalFormatting sqref="G16">
    <cfRule type="cellIs" dxfId="1269" priority="37" operator="equal">
      <formula>4</formula>
    </cfRule>
    <cfRule type="cellIs" dxfId="1268" priority="36" operator="equal">
      <formula>3</formula>
    </cfRule>
    <cfRule type="cellIs" dxfId="1267" priority="35" operator="equal">
      <formula>2</formula>
    </cfRule>
    <cfRule type="cellIs" dxfId="1266" priority="39" operator="equal">
      <formula>6</formula>
    </cfRule>
    <cfRule type="cellIs" dxfId="1265" priority="40" operator="equal">
      <formula>7</formula>
    </cfRule>
    <cfRule type="cellIs" dxfId="1264" priority="42" operator="equal">
      <formula>"x"</formula>
    </cfRule>
    <cfRule type="cellIs" dxfId="1263" priority="46" operator="equal">
      <formula>4</formula>
    </cfRule>
    <cfRule type="cellIs" dxfId="1262" priority="45" operator="equal">
      <formula>3</formula>
    </cfRule>
    <cfRule type="cellIs" dxfId="1261" priority="44" operator="equal">
      <formula>2</formula>
    </cfRule>
    <cfRule type="cellIs" dxfId="1260" priority="47" operator="equal">
      <formula>5</formula>
    </cfRule>
    <cfRule type="cellIs" dxfId="1259" priority="38" operator="equal">
      <formula>5</formula>
    </cfRule>
    <cfRule type="cellIs" dxfId="1258" priority="43" operator="equal">
      <formula>1</formula>
    </cfRule>
    <cfRule type="cellIs" dxfId="1257" priority="48" operator="equal">
      <formula>6</formula>
    </cfRule>
  </conditionalFormatting>
  <conditionalFormatting sqref="G18">
    <cfRule type="cellIs" dxfId="1256" priority="171" operator="equal">
      <formula>1</formula>
    </cfRule>
    <cfRule type="cellIs" dxfId="1255" priority="172" operator="equal">
      <formula>2</formula>
    </cfRule>
    <cfRule type="cellIs" dxfId="1254" priority="173" operator="equal">
      <formula>3</formula>
    </cfRule>
    <cfRule type="cellIs" dxfId="1253" priority="174" operator="equal">
      <formula>4</formula>
    </cfRule>
    <cfRule type="cellIs" dxfId="1252" priority="175" operator="equal">
      <formula>5</formula>
    </cfRule>
    <cfRule type="cellIs" dxfId="1251" priority="176" operator="equal">
      <formula>6</formula>
    </cfRule>
    <cfRule type="cellIs" dxfId="1250" priority="163" operator="equal">
      <formula>2</formula>
    </cfRule>
    <cfRule type="cellIs" dxfId="1249" priority="164" operator="equal">
      <formula>3</formula>
    </cfRule>
    <cfRule type="cellIs" dxfId="1248" priority="165" operator="equal">
      <formula>4</formula>
    </cfRule>
    <cfRule type="cellIs" dxfId="1247" priority="166" operator="equal">
      <formula>5</formula>
    </cfRule>
    <cfRule type="cellIs" dxfId="1246" priority="167" operator="equal">
      <formula>6</formula>
    </cfRule>
    <cfRule type="cellIs" dxfId="1245" priority="168" operator="equal">
      <formula>7</formula>
    </cfRule>
    <cfRule type="cellIs" dxfId="1244" priority="170" operator="equal">
      <formula>"x"</formula>
    </cfRule>
  </conditionalFormatting>
  <conditionalFormatting sqref="G20">
    <cfRule type="cellIs" dxfId="1243" priority="158" operator="equal">
      <formula>2</formula>
    </cfRule>
    <cfRule type="cellIs" dxfId="1242" priority="157" operator="equal">
      <formula>1</formula>
    </cfRule>
    <cfRule type="cellIs" dxfId="1241" priority="156" operator="equal">
      <formula>"x"</formula>
    </cfRule>
    <cfRule type="cellIs" dxfId="1240" priority="154" operator="equal">
      <formula>7</formula>
    </cfRule>
    <cfRule type="cellIs" dxfId="1239" priority="153" operator="equal">
      <formula>6</formula>
    </cfRule>
    <cfRule type="cellIs" dxfId="1238" priority="152" operator="equal">
      <formula>5</formula>
    </cfRule>
    <cfRule type="cellIs" dxfId="1237" priority="151" operator="equal">
      <formula>4</formula>
    </cfRule>
    <cfRule type="cellIs" dxfId="1236" priority="162" operator="equal">
      <formula>6</formula>
    </cfRule>
    <cfRule type="cellIs" dxfId="1235" priority="161" operator="equal">
      <formula>5</formula>
    </cfRule>
    <cfRule type="cellIs" dxfId="1234" priority="160" operator="equal">
      <formula>4</formula>
    </cfRule>
    <cfRule type="cellIs" dxfId="1233" priority="150" operator="equal">
      <formula>3</formula>
    </cfRule>
    <cfRule type="cellIs" dxfId="1232" priority="159" operator="equal">
      <formula>3</formula>
    </cfRule>
    <cfRule type="cellIs" dxfId="1231" priority="149" operator="equal">
      <formula>2</formula>
    </cfRule>
  </conditionalFormatting>
  <conditionalFormatting sqref="G22 G24 G26 G28 G30 G32 G34 G36">
    <cfRule type="cellIs" dxfId="1230" priority="140" operator="equal">
      <formula>7</formula>
    </cfRule>
    <cfRule type="cellIs" dxfId="1229" priority="139" operator="equal">
      <formula>6</formula>
    </cfRule>
    <cfRule type="cellIs" dxfId="1228" priority="138" operator="equal">
      <formula>5</formula>
    </cfRule>
    <cfRule type="cellIs" dxfId="1227" priority="137" operator="equal">
      <formula>4</formula>
    </cfRule>
    <cfRule type="cellIs" dxfId="1226" priority="136" operator="equal">
      <formula>3</formula>
    </cfRule>
    <cfRule type="cellIs" dxfId="1225" priority="135" operator="equal">
      <formula>2</formula>
    </cfRule>
    <cfRule type="cellIs" dxfId="1224" priority="148" operator="equal">
      <formula>6</formula>
    </cfRule>
    <cfRule type="cellIs" dxfId="1223" priority="147" operator="equal">
      <formula>5</formula>
    </cfRule>
    <cfRule type="cellIs" dxfId="1222" priority="146" operator="equal">
      <formula>4</formula>
    </cfRule>
    <cfRule type="cellIs" dxfId="1221" priority="145" operator="equal">
      <formula>3</formula>
    </cfRule>
    <cfRule type="cellIs" dxfId="1220" priority="144" operator="equal">
      <formula>2</formula>
    </cfRule>
    <cfRule type="cellIs" dxfId="1219" priority="143" operator="equal">
      <formula>1</formula>
    </cfRule>
    <cfRule type="cellIs" dxfId="1218" priority="142" operator="equal">
      <formula>"x"</formula>
    </cfRule>
  </conditionalFormatting>
  <conditionalFormatting sqref="G38">
    <cfRule type="cellIs" dxfId="1217" priority="131" operator="equal">
      <formula>3</formula>
    </cfRule>
    <cfRule type="cellIs" dxfId="1216" priority="133" operator="equal">
      <formula>5</formula>
    </cfRule>
    <cfRule type="cellIs" dxfId="1215" priority="134" operator="equal">
      <formula>6</formula>
    </cfRule>
    <cfRule type="cellIs" dxfId="1214" priority="132" operator="equal">
      <formula>4</formula>
    </cfRule>
    <cfRule type="cellIs" dxfId="1213" priority="130" operator="equal">
      <formula>2</formula>
    </cfRule>
    <cfRule type="cellIs" dxfId="1212" priority="129" operator="equal">
      <formula>1</formula>
    </cfRule>
    <cfRule type="cellIs" dxfId="1211" priority="128" operator="equal">
      <formula>"x"</formula>
    </cfRule>
    <cfRule type="cellIs" dxfId="1210" priority="126" operator="equal">
      <formula>7</formula>
    </cfRule>
    <cfRule type="cellIs" dxfId="1209" priority="125" operator="equal">
      <formula>6</formula>
    </cfRule>
    <cfRule type="cellIs" dxfId="1208" priority="124" operator="equal">
      <formula>5</formula>
    </cfRule>
    <cfRule type="cellIs" dxfId="1207" priority="123" operator="equal">
      <formula>4</formula>
    </cfRule>
    <cfRule type="cellIs" dxfId="1206" priority="122" operator="equal">
      <formula>3</formula>
    </cfRule>
    <cfRule type="cellIs" dxfId="1205" priority="121" operator="equal">
      <formula>2</formula>
    </cfRule>
  </conditionalFormatting>
  <conditionalFormatting sqref="G8:H8 G18:H18 G20:H20 G22:H22 G24:H24 G26:H26 G28:H28 G30:H30 G32:H32 G34:H34 G36:H36 G38:H38">
    <cfRule type="cellIs" dxfId="1204" priority="64" operator="equal">
      <formula>1</formula>
    </cfRule>
  </conditionalFormatting>
  <conditionalFormatting sqref="G10:H10 G12:H12 G16:H16">
    <cfRule type="cellIs" dxfId="1203" priority="16" operator="equal">
      <formula>1</formula>
    </cfRule>
  </conditionalFormatting>
  <conditionalFormatting sqref="G14:H14">
    <cfRule type="cellIs" dxfId="1202" priority="7" operator="equal">
      <formula>1</formula>
    </cfRule>
  </conditionalFormatting>
  <conditionalFormatting sqref="H8 H18 H20 H22 H24 H26 H28 H30 H32 H34 H36 H38">
    <cfRule type="cellIs" dxfId="1201" priority="66" operator="equal">
      <formula>3</formula>
    </cfRule>
    <cfRule type="cellIs" dxfId="1200" priority="67" operator="equal">
      <formula>4</formula>
    </cfRule>
    <cfRule type="cellIs" dxfId="1199" priority="63" operator="equal">
      <formula>0</formula>
    </cfRule>
    <cfRule type="cellIs" dxfId="1198" priority="65" operator="equal">
      <formula>2</formula>
    </cfRule>
    <cfRule type="cellIs" dxfId="1197" priority="68" operator="equal">
      <formula>5</formula>
    </cfRule>
  </conditionalFormatting>
  <conditionalFormatting sqref="H10 H12 H14 H16">
    <cfRule type="cellIs" dxfId="1196" priority="17" operator="equal">
      <formula>2</formula>
    </cfRule>
    <cfRule type="cellIs" dxfId="1195" priority="18" operator="equal">
      <formula>3</formula>
    </cfRule>
    <cfRule type="cellIs" dxfId="1194" priority="19" operator="equal">
      <formula>4</formula>
    </cfRule>
    <cfRule type="cellIs" dxfId="1193" priority="20" operator="equal">
      <formula>5</formula>
    </cfRule>
    <cfRule type="cellIs" dxfId="1192" priority="15" operator="equal">
      <formula>0</formula>
    </cfRule>
  </conditionalFormatting>
  <conditionalFormatting sqref="H60:S75">
    <cfRule type="cellIs" dxfId="1191" priority="383" operator="equal">
      <formula>5</formula>
    </cfRule>
    <cfRule type="cellIs" dxfId="1190" priority="381" operator="equal">
      <formula>3</formula>
    </cfRule>
    <cfRule type="cellIs" dxfId="1189" priority="380" operator="equal">
      <formula>2</formula>
    </cfRule>
    <cfRule type="cellIs" dxfId="1188" priority="379" operator="equal">
      <formula>1</formula>
    </cfRule>
    <cfRule type="cellIs" dxfId="1187" priority="373" operator="equal">
      <formula>0</formula>
    </cfRule>
    <cfRule type="cellIs" dxfId="1186" priority="382" operator="equal">
      <formula>4</formula>
    </cfRule>
  </conditionalFormatting>
  <conditionalFormatting sqref="H110:S125">
    <cfRule type="cellIs" dxfId="1185" priority="371" operator="equal">
      <formula>4</formula>
    </cfRule>
    <cfRule type="cellIs" dxfId="1184" priority="370" operator="equal">
      <formula>3</formula>
    </cfRule>
    <cfRule type="cellIs" dxfId="1183" priority="369" operator="equal">
      <formula>2</formula>
    </cfRule>
    <cfRule type="cellIs" dxfId="1182" priority="368" operator="equal">
      <formula>1</formula>
    </cfRule>
    <cfRule type="cellIs" dxfId="1181" priority="367" operator="equal">
      <formula>0</formula>
    </cfRule>
    <cfRule type="cellIs" dxfId="1180" priority="372" operator="equal">
      <formula>5</formula>
    </cfRule>
  </conditionalFormatting>
  <conditionalFormatting sqref="H160:S175">
    <cfRule type="cellIs" dxfId="1179" priority="366" operator="equal">
      <formula>5</formula>
    </cfRule>
    <cfRule type="cellIs" dxfId="1178" priority="364" operator="equal">
      <formula>3</formula>
    </cfRule>
    <cfRule type="cellIs" dxfId="1177" priority="363" operator="equal">
      <formula>2</formula>
    </cfRule>
    <cfRule type="cellIs" dxfId="1176" priority="362" operator="equal">
      <formula>1</formula>
    </cfRule>
    <cfRule type="cellIs" dxfId="1175" priority="361" operator="equal">
      <formula>0</formula>
    </cfRule>
    <cfRule type="cellIs" dxfId="1174" priority="365" operator="equal">
      <formula>4</formula>
    </cfRule>
  </conditionalFormatting>
  <conditionalFormatting sqref="H210:S225">
    <cfRule type="cellIs" dxfId="1173" priority="360" operator="equal">
      <formula>5</formula>
    </cfRule>
    <cfRule type="cellIs" dxfId="1172" priority="359" operator="equal">
      <formula>4</formula>
    </cfRule>
    <cfRule type="cellIs" dxfId="1171" priority="358" operator="equal">
      <formula>3</formula>
    </cfRule>
    <cfRule type="cellIs" dxfId="1170" priority="357" operator="equal">
      <formula>2</formula>
    </cfRule>
    <cfRule type="cellIs" dxfId="1169" priority="356" operator="equal">
      <formula>1</formula>
    </cfRule>
    <cfRule type="cellIs" dxfId="1168" priority="355" operator="equal">
      <formula>0</formula>
    </cfRule>
  </conditionalFormatting>
  <conditionalFormatting sqref="H260:S275">
    <cfRule type="cellIs" dxfId="1167" priority="354" operator="equal">
      <formula>5</formula>
    </cfRule>
    <cfRule type="cellIs" dxfId="1166" priority="352" operator="equal">
      <formula>3</formula>
    </cfRule>
    <cfRule type="cellIs" dxfId="1165" priority="351" operator="equal">
      <formula>2</formula>
    </cfRule>
    <cfRule type="cellIs" dxfId="1164" priority="350" operator="equal">
      <formula>1</formula>
    </cfRule>
    <cfRule type="cellIs" dxfId="1163" priority="349" operator="equal">
      <formula>0</formula>
    </cfRule>
    <cfRule type="cellIs" dxfId="1162" priority="353" operator="equal">
      <formula>4</formula>
    </cfRule>
  </conditionalFormatting>
  <conditionalFormatting sqref="H310:S325">
    <cfRule type="cellIs" dxfId="1161" priority="348" operator="equal">
      <formula>5</formula>
    </cfRule>
    <cfRule type="cellIs" dxfId="1160" priority="347" operator="equal">
      <formula>4</formula>
    </cfRule>
    <cfRule type="cellIs" dxfId="1159" priority="346" operator="equal">
      <formula>3</formula>
    </cfRule>
    <cfRule type="cellIs" dxfId="1158" priority="345" operator="equal">
      <formula>2</formula>
    </cfRule>
    <cfRule type="cellIs" dxfId="1157" priority="344" operator="equal">
      <formula>1</formula>
    </cfRule>
    <cfRule type="cellIs" dxfId="1156" priority="343" operator="equal">
      <formula>0</formula>
    </cfRule>
  </conditionalFormatting>
  <conditionalFormatting sqref="H360:S375">
    <cfRule type="cellIs" dxfId="1155" priority="339" operator="equal">
      <formula>2</formula>
    </cfRule>
    <cfRule type="cellIs" dxfId="1154" priority="340" operator="equal">
      <formula>3</formula>
    </cfRule>
    <cfRule type="cellIs" dxfId="1153" priority="341" operator="equal">
      <formula>4</formula>
    </cfRule>
    <cfRule type="cellIs" dxfId="1152" priority="342" operator="equal">
      <formula>5</formula>
    </cfRule>
    <cfRule type="cellIs" dxfId="1151" priority="337" operator="equal">
      <formula>0</formula>
    </cfRule>
    <cfRule type="cellIs" dxfId="1150" priority="338" operator="equal">
      <formula>1</formula>
    </cfRule>
  </conditionalFormatting>
  <conditionalFormatting sqref="H410:S425">
    <cfRule type="cellIs" dxfId="1149" priority="331" operator="equal">
      <formula>0</formula>
    </cfRule>
    <cfRule type="cellIs" dxfId="1148" priority="332" operator="equal">
      <formula>1</formula>
    </cfRule>
    <cfRule type="cellIs" dxfId="1147" priority="333" operator="equal">
      <formula>2</formula>
    </cfRule>
    <cfRule type="cellIs" dxfId="1146" priority="334" operator="equal">
      <formula>3</formula>
    </cfRule>
    <cfRule type="cellIs" dxfId="1145" priority="335" operator="equal">
      <formula>4</formula>
    </cfRule>
    <cfRule type="cellIs" dxfId="1144" priority="336" operator="equal">
      <formula>5</formula>
    </cfRule>
  </conditionalFormatting>
  <conditionalFormatting sqref="H460:S475">
    <cfRule type="cellIs" dxfId="1143" priority="325" operator="equal">
      <formula>0</formula>
    </cfRule>
    <cfRule type="cellIs" dxfId="1142" priority="326" operator="equal">
      <formula>1</formula>
    </cfRule>
    <cfRule type="cellIs" dxfId="1141" priority="327" operator="equal">
      <formula>2</formula>
    </cfRule>
    <cfRule type="cellIs" dxfId="1140" priority="328" operator="equal">
      <formula>3</formula>
    </cfRule>
    <cfRule type="cellIs" dxfId="1139" priority="329" operator="equal">
      <formula>4</formula>
    </cfRule>
    <cfRule type="cellIs" dxfId="1138" priority="330" operator="equal">
      <formula>5</formula>
    </cfRule>
  </conditionalFormatting>
  <conditionalFormatting sqref="H510:S525">
    <cfRule type="cellIs" dxfId="1137" priority="324" operator="equal">
      <formula>5</formula>
    </cfRule>
    <cfRule type="cellIs" dxfId="1136" priority="319" operator="equal">
      <formula>0</formula>
    </cfRule>
    <cfRule type="cellIs" dxfId="1135" priority="320" operator="equal">
      <formula>1</formula>
    </cfRule>
    <cfRule type="cellIs" dxfId="1134" priority="321" operator="equal">
      <formula>2</formula>
    </cfRule>
    <cfRule type="cellIs" dxfId="1133" priority="322" operator="equal">
      <formula>3</formula>
    </cfRule>
    <cfRule type="cellIs" dxfId="1132" priority="323" operator="equal">
      <formula>4</formula>
    </cfRule>
  </conditionalFormatting>
  <conditionalFormatting sqref="H560:S575">
    <cfRule type="cellIs" dxfId="1131" priority="316" operator="equal">
      <formula>3</formula>
    </cfRule>
    <cfRule type="cellIs" dxfId="1130" priority="313" operator="equal">
      <formula>0</formula>
    </cfRule>
    <cfRule type="cellIs" dxfId="1129" priority="314" operator="equal">
      <formula>1</formula>
    </cfRule>
    <cfRule type="cellIs" dxfId="1128" priority="315" operator="equal">
      <formula>2</formula>
    </cfRule>
    <cfRule type="cellIs" dxfId="1127" priority="317" operator="equal">
      <formula>4</formula>
    </cfRule>
    <cfRule type="cellIs" dxfId="1126" priority="318" operator="equal">
      <formula>5</formula>
    </cfRule>
  </conditionalFormatting>
  <conditionalFormatting sqref="H610:S625">
    <cfRule type="cellIs" dxfId="1125" priority="307" operator="equal">
      <formula>0</formula>
    </cfRule>
    <cfRule type="cellIs" dxfId="1124" priority="308" operator="equal">
      <formula>1</formula>
    </cfRule>
    <cfRule type="cellIs" dxfId="1123" priority="309" operator="equal">
      <formula>2</formula>
    </cfRule>
    <cfRule type="cellIs" dxfId="1122" priority="310" operator="equal">
      <formula>3</formula>
    </cfRule>
    <cfRule type="cellIs" dxfId="1121" priority="311" operator="equal">
      <formula>4</formula>
    </cfRule>
    <cfRule type="cellIs" dxfId="1120" priority="312" operator="equal">
      <formula>5</formula>
    </cfRule>
  </conditionalFormatting>
  <conditionalFormatting sqref="H660:S675">
    <cfRule type="cellIs" dxfId="1119" priority="301" operator="equal">
      <formula>0</formula>
    </cfRule>
    <cfRule type="cellIs" dxfId="1118" priority="302" operator="equal">
      <formula>1</formula>
    </cfRule>
    <cfRule type="cellIs" dxfId="1117" priority="303" operator="equal">
      <formula>2</formula>
    </cfRule>
    <cfRule type="cellIs" dxfId="1116" priority="304" operator="equal">
      <formula>3</formula>
    </cfRule>
    <cfRule type="cellIs" dxfId="1115" priority="305" operator="equal">
      <formula>4</formula>
    </cfRule>
    <cfRule type="cellIs" dxfId="1114" priority="306" operator="equal">
      <formula>5</formula>
    </cfRule>
  </conditionalFormatting>
  <conditionalFormatting sqref="H710:S725">
    <cfRule type="cellIs" dxfId="1113" priority="297" operator="equal">
      <formula>2</formula>
    </cfRule>
    <cfRule type="cellIs" dxfId="1112" priority="298" operator="equal">
      <formula>3</formula>
    </cfRule>
    <cfRule type="cellIs" dxfId="1111" priority="299" operator="equal">
      <formula>4</formula>
    </cfRule>
    <cfRule type="cellIs" dxfId="1110" priority="300" operator="equal">
      <formula>5</formula>
    </cfRule>
    <cfRule type="cellIs" dxfId="1109" priority="295" operator="equal">
      <formula>0</formula>
    </cfRule>
    <cfRule type="cellIs" dxfId="1108" priority="296" operator="equal">
      <formula>1</formula>
    </cfRule>
  </conditionalFormatting>
  <conditionalFormatting sqref="H760:S775">
    <cfRule type="cellIs" dxfId="1107" priority="292" operator="equal">
      <formula>3</formula>
    </cfRule>
    <cfRule type="cellIs" dxfId="1106" priority="289" operator="equal">
      <formula>0</formula>
    </cfRule>
    <cfRule type="cellIs" dxfId="1105" priority="291" operator="equal">
      <formula>2</formula>
    </cfRule>
    <cfRule type="cellIs" dxfId="1104" priority="294" operator="equal">
      <formula>5</formula>
    </cfRule>
    <cfRule type="cellIs" dxfId="1103" priority="293" operator="equal">
      <formula>4</formula>
    </cfRule>
    <cfRule type="cellIs" dxfId="1102" priority="290" operator="equal">
      <formula>1</formula>
    </cfRule>
  </conditionalFormatting>
  <conditionalFormatting sqref="J8">
    <cfRule type="cellIs" dxfId="1101" priority="91" operator="equal">
      <formula>5</formula>
    </cfRule>
    <cfRule type="cellIs" dxfId="1100" priority="92" operator="equal">
      <formula>6</formula>
    </cfRule>
    <cfRule type="cellIs" dxfId="1099" priority="79" operator="equal">
      <formula>2</formula>
    </cfRule>
    <cfRule type="cellIs" dxfId="1098" priority="80" operator="equal">
      <formula>3</formula>
    </cfRule>
    <cfRule type="cellIs" dxfId="1097" priority="81" operator="equal">
      <formula>4</formula>
    </cfRule>
    <cfRule type="cellIs" dxfId="1096" priority="82" operator="equal">
      <formula>5</formula>
    </cfRule>
    <cfRule type="cellIs" dxfId="1095" priority="83" operator="equal">
      <formula>6</formula>
    </cfRule>
    <cfRule type="cellIs" dxfId="1094" priority="84" operator="equal">
      <formula>7</formula>
    </cfRule>
    <cfRule type="cellIs" dxfId="1093" priority="85" operator="equal">
      <formula>1</formula>
    </cfRule>
    <cfRule type="cellIs" dxfId="1092" priority="86" operator="equal">
      <formula>"x"</formula>
    </cfRule>
    <cfRule type="cellIs" dxfId="1091" priority="87" operator="equal">
      <formula>1</formula>
    </cfRule>
    <cfRule type="cellIs" dxfId="1090" priority="88" operator="equal">
      <formula>2</formula>
    </cfRule>
    <cfRule type="cellIs" dxfId="1089" priority="89" operator="equal">
      <formula>3</formula>
    </cfRule>
    <cfRule type="cellIs" dxfId="1088" priority="90" operator="equal">
      <formula>4</formula>
    </cfRule>
  </conditionalFormatting>
  <conditionalFormatting sqref="J10 J12 J14 J16">
    <cfRule type="cellIs" dxfId="1087" priority="23" operator="equal">
      <formula>4</formula>
    </cfRule>
    <cfRule type="cellIs" dxfId="1086" priority="24" operator="equal">
      <formula>5</formula>
    </cfRule>
    <cfRule type="cellIs" dxfId="1085" priority="22" operator="equal">
      <formula>3</formula>
    </cfRule>
    <cfRule type="cellIs" dxfId="1084" priority="21" operator="equal">
      <formula>2</formula>
    </cfRule>
    <cfRule type="cellIs" dxfId="1083" priority="34" operator="equal">
      <formula>6</formula>
    </cfRule>
    <cfRule type="cellIs" dxfId="1082" priority="32" operator="equal">
      <formula>4</formula>
    </cfRule>
    <cfRule type="cellIs" dxfId="1081" priority="31" operator="equal">
      <formula>3</formula>
    </cfRule>
    <cfRule type="cellIs" dxfId="1080" priority="30" operator="equal">
      <formula>2</formula>
    </cfRule>
    <cfRule type="cellIs" dxfId="1079" priority="29" operator="equal">
      <formula>1</formula>
    </cfRule>
    <cfRule type="cellIs" dxfId="1078" priority="33" operator="equal">
      <formula>5</formula>
    </cfRule>
    <cfRule type="cellIs" dxfId="1077" priority="28" operator="equal">
      <formula>"x"</formula>
    </cfRule>
    <cfRule type="cellIs" dxfId="1076" priority="27" operator="equal">
      <formula>1</formula>
    </cfRule>
    <cfRule type="cellIs" dxfId="1075" priority="26" operator="equal">
      <formula>7</formula>
    </cfRule>
    <cfRule type="cellIs" dxfId="1074" priority="25" operator="equal">
      <formula>6</formula>
    </cfRule>
  </conditionalFormatting>
  <conditionalFormatting sqref="J18 J20 J22 J24 J26 J28 J30 J32 J34 J36 J38">
    <cfRule type="cellIs" dxfId="1073" priority="107" operator="equal">
      <formula>2</formula>
    </cfRule>
    <cfRule type="cellIs" dxfId="1072" priority="108" operator="equal">
      <formula>3</formula>
    </cfRule>
    <cfRule type="cellIs" dxfId="1071" priority="110" operator="equal">
      <formula>5</formula>
    </cfRule>
    <cfRule type="cellIs" dxfId="1070" priority="111" operator="equal">
      <formula>6</formula>
    </cfRule>
    <cfRule type="cellIs" dxfId="1069" priority="112" operator="equal">
      <formula>7</formula>
    </cfRule>
    <cfRule type="cellIs" dxfId="1068" priority="113" operator="equal">
      <formula>1</formula>
    </cfRule>
    <cfRule type="cellIs" dxfId="1067" priority="114" operator="equal">
      <formula>"x"</formula>
    </cfRule>
    <cfRule type="cellIs" dxfId="1066" priority="115" operator="equal">
      <formula>1</formula>
    </cfRule>
    <cfRule type="cellIs" dxfId="1065" priority="116" operator="equal">
      <formula>2</formula>
    </cfRule>
    <cfRule type="cellIs" dxfId="1064" priority="117" operator="equal">
      <formula>3</formula>
    </cfRule>
    <cfRule type="cellIs" dxfId="1063" priority="118" operator="equal">
      <formula>4</formula>
    </cfRule>
    <cfRule type="cellIs" dxfId="1062" priority="109" operator="equal">
      <formula>4</formula>
    </cfRule>
    <cfRule type="cellIs" dxfId="1061" priority="119" operator="equal">
      <formula>5</formula>
    </cfRule>
    <cfRule type="cellIs" dxfId="1060" priority="120" operator="equal">
      <formula>6</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11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100-000001000000}">
          <x14:formula1>
            <xm:f>LEGENDA!$B$5:$B$10</xm:f>
          </x14:formula1>
          <xm:sqref>H8:I9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33">
    <tabColor rgb="FFFF6165"/>
    <pageSetUpPr fitToPage="1"/>
  </sheetPr>
  <dimension ref="A1:AO790"/>
  <sheetViews>
    <sheetView topLeftCell="B1" zoomScale="80" zoomScaleNormal="80" zoomScalePageLayoutView="80" workbookViewId="0">
      <pane ySplit="2" topLeftCell="A3" activePane="bottomLeft" state="frozen"/>
      <selection activeCell="G311" sqref="G311"/>
      <selection pane="bottomLeft" activeCell="G311" sqref="G311"/>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6</v>
      </c>
      <c r="M4" s="383"/>
      <c r="N4" s="383"/>
      <c r="O4" s="384"/>
      <c r="P4" s="382" t="s">
        <v>6</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0</v>
      </c>
      <c r="I8" s="360"/>
      <c r="J8" s="363" t="s">
        <v>6</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343" t="s">
        <v>19</v>
      </c>
      <c r="G10" s="344" t="s">
        <v>20</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16"/>
      <c r="B11" s="16"/>
      <c r="C11"/>
      <c r="D11" s="376"/>
      <c r="E11" s="326"/>
      <c r="F11" s="306"/>
      <c r="G11" s="308"/>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t="s">
        <v>23</v>
      </c>
      <c r="G12" s="307" t="s">
        <v>24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t="s">
        <v>27</v>
      </c>
      <c r="G14" s="307" t="s">
        <v>28</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t="s">
        <v>31</v>
      </c>
      <c r="G16" s="307" t="s">
        <v>32</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306"/>
      <c r="G17" s="308"/>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306" t="s">
        <v>33</v>
      </c>
      <c r="G18" s="307" t="s">
        <v>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306"/>
      <c r="G19" s="308"/>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306" t="s">
        <v>35</v>
      </c>
      <c r="G20" s="307" t="s">
        <v>36</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306"/>
      <c r="G21" s="308"/>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306" t="s">
        <v>38</v>
      </c>
      <c r="G22" s="307" t="s">
        <v>39</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306"/>
      <c r="G23" s="308"/>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306" t="s">
        <v>41</v>
      </c>
      <c r="G24" s="307" t="s">
        <v>42</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306"/>
      <c r="G25" s="308"/>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t="str">
        <f ca="1">OFFSET($G$7,2*(D53+1)-1,0)</f>
        <v>A</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t="str">
        <f ca="1">OFFSET($G$7,2*(D103+1)-1,0)</f>
        <v>B</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t="str">
        <f ca="1">OFFSET($G$7,2*(D153+1)-1,0)</f>
        <v>C</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t="str">
        <f ca="1">OFFSET($G$7,2*(D203+1)-1,0)</f>
        <v>D</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t="str">
        <f ca="1">OFFSET($G$7,2*(D253+1)-1,0)</f>
        <v>E</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t="str">
        <f ca="1">OFFSET($G$7,2*(D303+1)-1,0)</f>
        <v>F</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t="str">
        <f ca="1">OFFSET($G$7,2*(D353+1)-1,0)</f>
        <v>G</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t="str">
        <f ca="1">OFFSET($G$7,2*(D403+1)-1,0)</f>
        <v>H</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D2:F2"/>
    <mergeCell ref="H2:K2"/>
    <mergeCell ref="L2:S2"/>
    <mergeCell ref="F30:F31"/>
    <mergeCell ref="F32:F33"/>
    <mergeCell ref="F34:F35"/>
    <mergeCell ref="F36:F37"/>
    <mergeCell ref="H30:I31"/>
    <mergeCell ref="H32:I33"/>
    <mergeCell ref="H34:I35"/>
    <mergeCell ref="G30:G31"/>
    <mergeCell ref="G32:G33"/>
    <mergeCell ref="G34:G35"/>
    <mergeCell ref="G36:G37"/>
    <mergeCell ref="G22:G23"/>
    <mergeCell ref="G24:G25"/>
    <mergeCell ref="G26:G27"/>
    <mergeCell ref="G28:G29"/>
    <mergeCell ref="D24:D27"/>
    <mergeCell ref="F22:F23"/>
    <mergeCell ref="F24:F25"/>
    <mergeCell ref="F26:F27"/>
    <mergeCell ref="F28:F29"/>
    <mergeCell ref="L22:P23"/>
    <mergeCell ref="L24:P25"/>
    <mergeCell ref="L26:P27"/>
    <mergeCell ref="J14:K15"/>
    <mergeCell ref="J16:K17"/>
    <mergeCell ref="J18:K19"/>
    <mergeCell ref="J20:K21"/>
    <mergeCell ref="J22:K23"/>
    <mergeCell ref="L34:P35"/>
    <mergeCell ref="L14:P15"/>
    <mergeCell ref="J24:K25"/>
    <mergeCell ref="J26:K27"/>
    <mergeCell ref="D781:E784"/>
    <mergeCell ref="F781:G784"/>
    <mergeCell ref="H781:O784"/>
    <mergeCell ref="P781:Q784"/>
    <mergeCell ref="R781:S784"/>
    <mergeCell ref="D768:D769"/>
    <mergeCell ref="D770:D771"/>
    <mergeCell ref="D772:D773"/>
    <mergeCell ref="D774:D775"/>
    <mergeCell ref="D731:E734"/>
    <mergeCell ref="F731:G734"/>
    <mergeCell ref="L36:P37"/>
    <mergeCell ref="D785:E788"/>
    <mergeCell ref="F785:G788"/>
    <mergeCell ref="H785:O788"/>
    <mergeCell ref="P785:Q788"/>
    <mergeCell ref="R785:S788"/>
    <mergeCell ref="R776:S776"/>
    <mergeCell ref="D777:E780"/>
    <mergeCell ref="F777:G780"/>
    <mergeCell ref="H777:O780"/>
    <mergeCell ref="P777:Q780"/>
    <mergeCell ref="R777:S780"/>
    <mergeCell ref="H776:O776"/>
    <mergeCell ref="P776:Q776"/>
    <mergeCell ref="H731:O734"/>
    <mergeCell ref="P731:Q734"/>
    <mergeCell ref="R731:S734"/>
    <mergeCell ref="D735:E738"/>
    <mergeCell ref="F735:G738"/>
    <mergeCell ref="H735:O738"/>
    <mergeCell ref="D755:G755"/>
    <mergeCell ref="H755:J755"/>
    <mergeCell ref="P735:Q738"/>
    <mergeCell ref="R735:S738"/>
    <mergeCell ref="U758:V758"/>
    <mergeCell ref="E759:F759"/>
    <mergeCell ref="U759:V760"/>
    <mergeCell ref="D766:D767"/>
    <mergeCell ref="D756:G756"/>
    <mergeCell ref="H756:J756"/>
    <mergeCell ref="K756:M756"/>
    <mergeCell ref="N756:P756"/>
    <mergeCell ref="Q756:S756"/>
    <mergeCell ref="D757:S757"/>
    <mergeCell ref="D760:D765"/>
    <mergeCell ref="D758:S758"/>
    <mergeCell ref="D754:G754"/>
    <mergeCell ref="H754:S754"/>
    <mergeCell ref="K755:M755"/>
    <mergeCell ref="N755:P755"/>
    <mergeCell ref="Q755:S755"/>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08:S708"/>
    <mergeCell ref="U708:V708"/>
    <mergeCell ref="E709:F709"/>
    <mergeCell ref="U709:V710"/>
    <mergeCell ref="D716:D717"/>
    <mergeCell ref="D710:D715"/>
    <mergeCell ref="D706:G706"/>
    <mergeCell ref="H706:J706"/>
    <mergeCell ref="K706:M706"/>
    <mergeCell ref="N706:P706"/>
    <mergeCell ref="Q706:S706"/>
    <mergeCell ref="D707:S707"/>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R676:S676"/>
    <mergeCell ref="D677:E680"/>
    <mergeCell ref="F677:G680"/>
    <mergeCell ref="H677:O680"/>
    <mergeCell ref="P677:Q680"/>
    <mergeCell ref="R677:S680"/>
    <mergeCell ref="D668:D669"/>
    <mergeCell ref="D670:D671"/>
    <mergeCell ref="D672:D673"/>
    <mergeCell ref="D674:D675"/>
    <mergeCell ref="H676:O676"/>
    <mergeCell ref="P676:Q676"/>
    <mergeCell ref="D658:S658"/>
    <mergeCell ref="U658:V658"/>
    <mergeCell ref="E659:F659"/>
    <mergeCell ref="U659:V660"/>
    <mergeCell ref="D666:D667"/>
    <mergeCell ref="D656:G656"/>
    <mergeCell ref="H656:J656"/>
    <mergeCell ref="K656:M656"/>
    <mergeCell ref="N656:P656"/>
    <mergeCell ref="Q656:S656"/>
    <mergeCell ref="D657:S657"/>
    <mergeCell ref="D660:D665"/>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08:S608"/>
    <mergeCell ref="U608:V608"/>
    <mergeCell ref="E609:F609"/>
    <mergeCell ref="U609:V610"/>
    <mergeCell ref="D616:D617"/>
    <mergeCell ref="D606:G606"/>
    <mergeCell ref="H606:J606"/>
    <mergeCell ref="K606:M606"/>
    <mergeCell ref="N606:P606"/>
    <mergeCell ref="Q606:S606"/>
    <mergeCell ref="D607:S607"/>
    <mergeCell ref="D610:D615"/>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R576:S576"/>
    <mergeCell ref="D577:E580"/>
    <mergeCell ref="F577:G580"/>
    <mergeCell ref="H577:O580"/>
    <mergeCell ref="P577:Q580"/>
    <mergeCell ref="R577:S580"/>
    <mergeCell ref="D568:D569"/>
    <mergeCell ref="D570:D571"/>
    <mergeCell ref="D572:D573"/>
    <mergeCell ref="D574:D575"/>
    <mergeCell ref="H576:O576"/>
    <mergeCell ref="P576:Q576"/>
    <mergeCell ref="D558:S558"/>
    <mergeCell ref="U558:V558"/>
    <mergeCell ref="E559:F559"/>
    <mergeCell ref="U559:V560"/>
    <mergeCell ref="D566:D567"/>
    <mergeCell ref="D556:G556"/>
    <mergeCell ref="H556:J556"/>
    <mergeCell ref="K556:M556"/>
    <mergeCell ref="N556:P556"/>
    <mergeCell ref="Q556:S556"/>
    <mergeCell ref="D557:S557"/>
    <mergeCell ref="D560:D565"/>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08:S508"/>
    <mergeCell ref="U508:V508"/>
    <mergeCell ref="E509:F509"/>
    <mergeCell ref="U509:V510"/>
    <mergeCell ref="D516:D517"/>
    <mergeCell ref="D506:G506"/>
    <mergeCell ref="H506:J506"/>
    <mergeCell ref="K506:M506"/>
    <mergeCell ref="N506:P506"/>
    <mergeCell ref="Q506:S506"/>
    <mergeCell ref="D507:S507"/>
    <mergeCell ref="D510:D515"/>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R476:S476"/>
    <mergeCell ref="D477:E480"/>
    <mergeCell ref="F477:G480"/>
    <mergeCell ref="H477:O480"/>
    <mergeCell ref="P477:Q480"/>
    <mergeCell ref="R477:S480"/>
    <mergeCell ref="D468:D469"/>
    <mergeCell ref="D470:D471"/>
    <mergeCell ref="D472:D473"/>
    <mergeCell ref="D474:D475"/>
    <mergeCell ref="H476:O476"/>
    <mergeCell ref="P476:Q476"/>
    <mergeCell ref="D458:S458"/>
    <mergeCell ref="U458:V458"/>
    <mergeCell ref="E459:F459"/>
    <mergeCell ref="U459:V460"/>
    <mergeCell ref="D466:D467"/>
    <mergeCell ref="D456:G456"/>
    <mergeCell ref="H456:J456"/>
    <mergeCell ref="K456:M456"/>
    <mergeCell ref="N456:P456"/>
    <mergeCell ref="Q456:S456"/>
    <mergeCell ref="D457:S457"/>
    <mergeCell ref="D460:D465"/>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08:S408"/>
    <mergeCell ref="U408:V408"/>
    <mergeCell ref="E409:F409"/>
    <mergeCell ref="U409:V410"/>
    <mergeCell ref="D416:D417"/>
    <mergeCell ref="D406:G406"/>
    <mergeCell ref="H406:J406"/>
    <mergeCell ref="K406:M406"/>
    <mergeCell ref="N406:P406"/>
    <mergeCell ref="Q406:S406"/>
    <mergeCell ref="D407:S407"/>
    <mergeCell ref="D410:D415"/>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R376:S376"/>
    <mergeCell ref="D377:E380"/>
    <mergeCell ref="F377:G380"/>
    <mergeCell ref="H377:O380"/>
    <mergeCell ref="P377:Q380"/>
    <mergeCell ref="R377:S380"/>
    <mergeCell ref="D368:D369"/>
    <mergeCell ref="D370:D371"/>
    <mergeCell ref="D372:D373"/>
    <mergeCell ref="D374:D375"/>
    <mergeCell ref="H376:O376"/>
    <mergeCell ref="P376:Q376"/>
    <mergeCell ref="D358:S358"/>
    <mergeCell ref="U358:V358"/>
    <mergeCell ref="E359:F359"/>
    <mergeCell ref="U359:V360"/>
    <mergeCell ref="D366:D367"/>
    <mergeCell ref="D356:G356"/>
    <mergeCell ref="H356:J356"/>
    <mergeCell ref="K356:M356"/>
    <mergeCell ref="N356:P356"/>
    <mergeCell ref="Q356:S356"/>
    <mergeCell ref="D357:S357"/>
    <mergeCell ref="D360:D365"/>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08:S308"/>
    <mergeCell ref="U308:V308"/>
    <mergeCell ref="E309:F309"/>
    <mergeCell ref="U309:V310"/>
    <mergeCell ref="D316:D317"/>
    <mergeCell ref="D306:G306"/>
    <mergeCell ref="H306:J306"/>
    <mergeCell ref="K306:M306"/>
    <mergeCell ref="N306:P306"/>
    <mergeCell ref="Q306:S306"/>
    <mergeCell ref="D307:S307"/>
    <mergeCell ref="D310:D315"/>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R276:S276"/>
    <mergeCell ref="D277:E280"/>
    <mergeCell ref="F277:G280"/>
    <mergeCell ref="H277:O280"/>
    <mergeCell ref="P277:Q280"/>
    <mergeCell ref="R277:S280"/>
    <mergeCell ref="D268:D269"/>
    <mergeCell ref="D270:D271"/>
    <mergeCell ref="D272:D273"/>
    <mergeCell ref="D274:D275"/>
    <mergeCell ref="H276:O276"/>
    <mergeCell ref="P276:Q276"/>
    <mergeCell ref="D258:S258"/>
    <mergeCell ref="U258:V258"/>
    <mergeCell ref="E259:F259"/>
    <mergeCell ref="U259:V260"/>
    <mergeCell ref="D266:D267"/>
    <mergeCell ref="D256:G256"/>
    <mergeCell ref="H256:J256"/>
    <mergeCell ref="K256:M256"/>
    <mergeCell ref="N256:P256"/>
    <mergeCell ref="Q256:S256"/>
    <mergeCell ref="D257:S257"/>
    <mergeCell ref="D260:D265"/>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08:S208"/>
    <mergeCell ref="U208:V208"/>
    <mergeCell ref="E209:F209"/>
    <mergeCell ref="U209:V210"/>
    <mergeCell ref="D216:D217"/>
    <mergeCell ref="D206:G206"/>
    <mergeCell ref="H206:J206"/>
    <mergeCell ref="K206:M206"/>
    <mergeCell ref="N206:P206"/>
    <mergeCell ref="Q206:S206"/>
    <mergeCell ref="D207:S207"/>
    <mergeCell ref="D210:D215"/>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4:G204"/>
    <mergeCell ref="H204:S204"/>
    <mergeCell ref="R176:S176"/>
    <mergeCell ref="D177:E180"/>
    <mergeCell ref="F177:G180"/>
    <mergeCell ref="H177:O180"/>
    <mergeCell ref="P177:Q180"/>
    <mergeCell ref="R177:S180"/>
    <mergeCell ref="D168:D169"/>
    <mergeCell ref="D170:D171"/>
    <mergeCell ref="D172:D173"/>
    <mergeCell ref="D174:D175"/>
    <mergeCell ref="H176:O176"/>
    <mergeCell ref="P176:Q176"/>
    <mergeCell ref="D158:S158"/>
    <mergeCell ref="U158:V158"/>
    <mergeCell ref="E159:F159"/>
    <mergeCell ref="U159:V160"/>
    <mergeCell ref="D166:D167"/>
    <mergeCell ref="D156:G156"/>
    <mergeCell ref="H156:J156"/>
    <mergeCell ref="K156:M156"/>
    <mergeCell ref="N156:P156"/>
    <mergeCell ref="Q156:S156"/>
    <mergeCell ref="D157:S157"/>
    <mergeCell ref="D160:D165"/>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4:G154"/>
    <mergeCell ref="H154:S154"/>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08:S108"/>
    <mergeCell ref="U108:V108"/>
    <mergeCell ref="E109:F109"/>
    <mergeCell ref="U109:V110"/>
    <mergeCell ref="D116:D117"/>
    <mergeCell ref="D106:G106"/>
    <mergeCell ref="H106:J106"/>
    <mergeCell ref="K106:M106"/>
    <mergeCell ref="N106:P106"/>
    <mergeCell ref="Q106:S106"/>
    <mergeCell ref="D107:S107"/>
    <mergeCell ref="D110:D115"/>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4:G104"/>
    <mergeCell ref="H104:S104"/>
    <mergeCell ref="R76:S76"/>
    <mergeCell ref="D77:E80"/>
    <mergeCell ref="F77:G80"/>
    <mergeCell ref="H77:O80"/>
    <mergeCell ref="P77:Q80"/>
    <mergeCell ref="R77:S80"/>
    <mergeCell ref="D68:D69"/>
    <mergeCell ref="D70:D71"/>
    <mergeCell ref="D72:D73"/>
    <mergeCell ref="D74:D75"/>
    <mergeCell ref="H76:O76"/>
    <mergeCell ref="P76:Q76"/>
    <mergeCell ref="D58:S58"/>
    <mergeCell ref="U58:V58"/>
    <mergeCell ref="E59:F59"/>
    <mergeCell ref="U59:V60"/>
    <mergeCell ref="D66:D67"/>
    <mergeCell ref="D56:G56"/>
    <mergeCell ref="H56:J56"/>
    <mergeCell ref="K56:M56"/>
    <mergeCell ref="N56:P56"/>
    <mergeCell ref="Q56:S56"/>
    <mergeCell ref="D57:S57"/>
    <mergeCell ref="D60:D65"/>
    <mergeCell ref="D55:G55"/>
    <mergeCell ref="H55:J55"/>
    <mergeCell ref="K55:M55"/>
    <mergeCell ref="N55:P55"/>
    <mergeCell ref="Q55:S55"/>
    <mergeCell ref="D36:D39"/>
    <mergeCell ref="Q36:S37"/>
    <mergeCell ref="Q38:S39"/>
    <mergeCell ref="E36:E37"/>
    <mergeCell ref="E38:E39"/>
    <mergeCell ref="J36:K37"/>
    <mergeCell ref="J38:K39"/>
    <mergeCell ref="H36:I37"/>
    <mergeCell ref="H38:I39"/>
    <mergeCell ref="L38:P39"/>
    <mergeCell ref="F38:F39"/>
    <mergeCell ref="G38:G39"/>
    <mergeCell ref="D54:G54"/>
    <mergeCell ref="H54:S54"/>
    <mergeCell ref="Q24:S25"/>
    <mergeCell ref="Q26:S27"/>
    <mergeCell ref="D32:D35"/>
    <mergeCell ref="Q32:S33"/>
    <mergeCell ref="Q34:S35"/>
    <mergeCell ref="D28:D31"/>
    <mergeCell ref="Q28:S29"/>
    <mergeCell ref="Q30:S31"/>
    <mergeCell ref="E24:E25"/>
    <mergeCell ref="E26:E27"/>
    <mergeCell ref="E28:E29"/>
    <mergeCell ref="E30:E31"/>
    <mergeCell ref="E32:E33"/>
    <mergeCell ref="E34:E35"/>
    <mergeCell ref="J28:K29"/>
    <mergeCell ref="J30:K31"/>
    <mergeCell ref="J32:K33"/>
    <mergeCell ref="J34:K35"/>
    <mergeCell ref="H24:I25"/>
    <mergeCell ref="H26:I27"/>
    <mergeCell ref="L28:P29"/>
    <mergeCell ref="L30:P31"/>
    <mergeCell ref="L32:P33"/>
    <mergeCell ref="H28:I29"/>
    <mergeCell ref="Q22:S23"/>
    <mergeCell ref="D3:E3"/>
    <mergeCell ref="F3:G3"/>
    <mergeCell ref="Q7:S7"/>
    <mergeCell ref="L7:P7"/>
    <mergeCell ref="E22:E23"/>
    <mergeCell ref="H3:K3"/>
    <mergeCell ref="L3:O3"/>
    <mergeCell ref="P3:S3"/>
    <mergeCell ref="P4:S4"/>
    <mergeCell ref="D5:S5"/>
    <mergeCell ref="H10:I11"/>
    <mergeCell ref="H12:I13"/>
    <mergeCell ref="H14:I15"/>
    <mergeCell ref="H16:I17"/>
    <mergeCell ref="H18:I19"/>
    <mergeCell ref="H20:I21"/>
    <mergeCell ref="H22:I23"/>
    <mergeCell ref="H7:I7"/>
    <mergeCell ref="J7:K7"/>
    <mergeCell ref="J10:K11"/>
    <mergeCell ref="J12:K13"/>
    <mergeCell ref="G16:G17"/>
    <mergeCell ref="G18:G19"/>
    <mergeCell ref="D4:E4"/>
    <mergeCell ref="F4:G4"/>
    <mergeCell ref="Q10:S11"/>
    <mergeCell ref="Q12:S13"/>
    <mergeCell ref="F10:F11"/>
    <mergeCell ref="F12:F13"/>
    <mergeCell ref="F14:F15"/>
    <mergeCell ref="L10:P11"/>
    <mergeCell ref="L12:P13"/>
    <mergeCell ref="G10:G11"/>
    <mergeCell ref="G12:G13"/>
    <mergeCell ref="G14:G15"/>
    <mergeCell ref="H4:K4"/>
    <mergeCell ref="L4:O4"/>
    <mergeCell ref="Q8:S9"/>
    <mergeCell ref="D8:D21"/>
    <mergeCell ref="D6:S6"/>
    <mergeCell ref="L8:P9"/>
    <mergeCell ref="U7:V7"/>
    <mergeCell ref="U8:V9"/>
    <mergeCell ref="G20:G21"/>
    <mergeCell ref="Q18:S19"/>
    <mergeCell ref="E10:E11"/>
    <mergeCell ref="E12:E13"/>
    <mergeCell ref="E14:E15"/>
    <mergeCell ref="E16:E17"/>
    <mergeCell ref="E18:E19"/>
    <mergeCell ref="E20:E21"/>
    <mergeCell ref="Q20:S21"/>
    <mergeCell ref="Q14:S15"/>
    <mergeCell ref="Q16:S17"/>
    <mergeCell ref="L16:P17"/>
    <mergeCell ref="L18:P19"/>
    <mergeCell ref="L20:P21"/>
    <mergeCell ref="F16:F17"/>
    <mergeCell ref="F18:F19"/>
    <mergeCell ref="F20:F21"/>
    <mergeCell ref="E8:E9"/>
    <mergeCell ref="F8:F9"/>
    <mergeCell ref="G8:G9"/>
    <mergeCell ref="H8:I9"/>
    <mergeCell ref="J8:K9"/>
  </mergeCells>
  <conditionalFormatting sqref="D2:S2">
    <cfRule type="expression" dxfId="1059" priority="16">
      <formula>IF(LEFT($A$7,2)="05",1,0)</formula>
    </cfRule>
    <cfRule type="expression" dxfId="1058" priority="8" stopIfTrue="1">
      <formula>IF(LEFT($A$7,2)="01",1,0)</formula>
    </cfRule>
    <cfRule type="expression" dxfId="1057" priority="13" stopIfTrue="1">
      <formula>IF(LEFT($A$7,2)="02",1,0)</formula>
    </cfRule>
    <cfRule type="expression" dxfId="1056" priority="14" stopIfTrue="1">
      <formula>IF(LEFT($A$7,2)="03",1,0)</formula>
    </cfRule>
    <cfRule type="expression" dxfId="1055" priority="15" stopIfTrue="1">
      <formula>IF(LEFT($A$7,2)="04",1,0)</formula>
    </cfRule>
  </conditionalFormatting>
  <conditionalFormatting sqref="D4:S4">
    <cfRule type="expression" dxfId="1054" priority="11">
      <formula>IF(LEFT($A$7,2)="04",1,0)</formula>
    </cfRule>
    <cfRule type="expression" dxfId="1053" priority="7">
      <formula>IF(LEFT($A$7,2)="01",1,0)</formula>
    </cfRule>
    <cfRule type="expression" dxfId="1052" priority="9">
      <formula>IF(LEFT($A$7,2)="02",1,0)</formula>
    </cfRule>
    <cfRule type="expression" dxfId="1051" priority="10">
      <formula>IF(LEFT($A$7,2)="03",1,0)</formula>
    </cfRule>
    <cfRule type="expression" dxfId="1050" priority="12">
      <formula>IF(LEFT($A$7,2)="05",1,0)</formula>
    </cfRule>
  </conditionalFormatting>
  <conditionalFormatting sqref="D54:S54">
    <cfRule type="expression" dxfId="1049" priority="314">
      <formula>IF(LEFT($A$7,2)="03",1,0)</formula>
    </cfRule>
    <cfRule type="expression" dxfId="1048" priority="315">
      <formula>IF(LEFT($A$7,2)="04",1,0)</formula>
    </cfRule>
    <cfRule type="expression" dxfId="1047" priority="316">
      <formula>IF(LEFT($A$7,2)="05",1,0)</formula>
    </cfRule>
    <cfRule type="expression" dxfId="1046" priority="312">
      <formula>IF(LEFT($A$7,2)="01",1,0)</formula>
    </cfRule>
    <cfRule type="expression" dxfId="1045" priority="313">
      <formula>IF(LEFT($A$7,2)="02",1,0)</formula>
    </cfRule>
  </conditionalFormatting>
  <conditionalFormatting sqref="D104:S104">
    <cfRule type="expression" dxfId="1044" priority="224">
      <formula>IF(LEFT($A$7,2)="03",1,0)</formula>
    </cfRule>
    <cfRule type="expression" dxfId="1043" priority="223">
      <formula>IF(LEFT($A$7,2)="02",1,0)</formula>
    </cfRule>
    <cfRule type="expression" dxfId="1042" priority="222">
      <formula>IF(LEFT($A$7,2)="01",1,0)</formula>
    </cfRule>
    <cfRule type="expression" dxfId="1041" priority="226">
      <formula>IF(LEFT($A$7,2)="05",1,0)</formula>
    </cfRule>
    <cfRule type="expression" dxfId="1040" priority="225">
      <formula>IF(LEFT($A$7,2)="04",1,0)</formula>
    </cfRule>
  </conditionalFormatting>
  <conditionalFormatting sqref="D154:S154">
    <cfRule type="expression" dxfId="1039" priority="220">
      <formula>IF(LEFT($A$7,2)="04",1,0)</formula>
    </cfRule>
    <cfRule type="expression" dxfId="1038" priority="219">
      <formula>IF(LEFT($A$7,2)="03",1,0)</formula>
    </cfRule>
    <cfRule type="expression" dxfId="1037" priority="218">
      <formula>IF(LEFT($A$7,2)="02",1,0)</formula>
    </cfRule>
    <cfRule type="expression" dxfId="1036" priority="217">
      <formula>IF(LEFT($A$7,2)="01",1,0)</formula>
    </cfRule>
    <cfRule type="expression" dxfId="1035" priority="221">
      <formula>IF(LEFT($A$7,2)="05",1,0)</formula>
    </cfRule>
  </conditionalFormatting>
  <conditionalFormatting sqref="D204:S204">
    <cfRule type="expression" dxfId="1034" priority="212">
      <formula>IF(LEFT($A$7,2)="01",1,0)</formula>
    </cfRule>
    <cfRule type="expression" dxfId="1033" priority="216">
      <formula>IF(LEFT($A$7,2)="05",1,0)</formula>
    </cfRule>
    <cfRule type="expression" dxfId="1032" priority="215">
      <formula>IF(LEFT($A$7,2)="04",1,0)</formula>
    </cfRule>
    <cfRule type="expression" dxfId="1031" priority="214">
      <formula>IF(LEFT($A$7,2)="03",1,0)</formula>
    </cfRule>
    <cfRule type="expression" dxfId="1030" priority="213">
      <formula>IF(LEFT($A$7,2)="02",1,0)</formula>
    </cfRule>
  </conditionalFormatting>
  <conditionalFormatting sqref="D254:S254">
    <cfRule type="expression" dxfId="1029" priority="211">
      <formula>IF(LEFT($A$7,2)="05",1,0)</formula>
    </cfRule>
    <cfRule type="expression" dxfId="1028" priority="207">
      <formula>IF(LEFT($A$7,2)="01",1,0)</formula>
    </cfRule>
    <cfRule type="expression" dxfId="1027" priority="208">
      <formula>IF(LEFT($A$7,2)="02",1,0)</formula>
    </cfRule>
    <cfRule type="expression" dxfId="1026" priority="209">
      <formula>IF(LEFT($A$7,2)="03",1,0)</formula>
    </cfRule>
    <cfRule type="expression" dxfId="1025" priority="210">
      <formula>IF(LEFT($A$7,2)="04",1,0)</formula>
    </cfRule>
  </conditionalFormatting>
  <conditionalFormatting sqref="D304:S304">
    <cfRule type="expression" dxfId="1024" priority="206">
      <formula>IF(LEFT($A$7,2)="05",1,0)</formula>
    </cfRule>
    <cfRule type="expression" dxfId="1023" priority="205">
      <formula>IF(LEFT($A$7,2)="04",1,0)</formula>
    </cfRule>
    <cfRule type="expression" dxfId="1022" priority="203">
      <formula>IF(LEFT($A$7,2)="02",1,0)</formula>
    </cfRule>
    <cfRule type="expression" dxfId="1021" priority="202">
      <formula>IF(LEFT($A$7,2)="01",1,0)</formula>
    </cfRule>
    <cfRule type="expression" dxfId="1020" priority="204">
      <formula>IF(LEFT($A$7,2)="03",1,0)</formula>
    </cfRule>
  </conditionalFormatting>
  <conditionalFormatting sqref="D354:S354">
    <cfRule type="expression" dxfId="1019" priority="201">
      <formula>IF(LEFT($A$7,2)="05",1,0)</formula>
    </cfRule>
    <cfRule type="expression" dxfId="1018" priority="200">
      <formula>IF(LEFT($A$7,2)="04",1,0)</formula>
    </cfRule>
    <cfRule type="expression" dxfId="1017" priority="199">
      <formula>IF(LEFT($A$7,2)="03",1,0)</formula>
    </cfRule>
    <cfRule type="expression" dxfId="1016" priority="198">
      <formula>IF(LEFT($A$7,2)="02",1,0)</formula>
    </cfRule>
    <cfRule type="expression" dxfId="1015" priority="197">
      <formula>IF(LEFT($A$7,2)="01",1,0)</formula>
    </cfRule>
  </conditionalFormatting>
  <conditionalFormatting sqref="D404:S404">
    <cfRule type="expression" dxfId="1014" priority="193">
      <formula>IF(LEFT($A$7,2)="02",1,0)</formula>
    </cfRule>
    <cfRule type="expression" dxfId="1013" priority="192">
      <formula>IF(LEFT($A$7,2)="01",1,0)</formula>
    </cfRule>
    <cfRule type="expression" dxfId="1012" priority="195">
      <formula>IF(LEFT($A$7,2)="04",1,0)</formula>
    </cfRule>
    <cfRule type="expression" dxfId="1011" priority="196">
      <formula>IF(LEFT($A$7,2)="05",1,0)</formula>
    </cfRule>
    <cfRule type="expression" dxfId="1010" priority="194">
      <formula>IF(LEFT($A$7,2)="03",1,0)</formula>
    </cfRule>
  </conditionalFormatting>
  <conditionalFormatting sqref="D454:S454">
    <cfRule type="expression" dxfId="1009" priority="191">
      <formula>IF(LEFT($A$7,2)="05",1,0)</formula>
    </cfRule>
    <cfRule type="expression" dxfId="1008" priority="190">
      <formula>IF(LEFT($A$7,2)="04",1,0)</formula>
    </cfRule>
    <cfRule type="expression" dxfId="1007" priority="189">
      <formula>IF(LEFT($A$7,2)="03",1,0)</formula>
    </cfRule>
    <cfRule type="expression" dxfId="1006" priority="188">
      <formula>IF(LEFT($A$7,2)="02",1,0)</formula>
    </cfRule>
    <cfRule type="expression" dxfId="1005" priority="187">
      <formula>IF(LEFT($A$7,2)="01",1,0)</formula>
    </cfRule>
  </conditionalFormatting>
  <conditionalFormatting sqref="D504:S504">
    <cfRule type="expression" dxfId="1004" priority="186">
      <formula>IF(LEFT($A$7,2)="05",1,0)</formula>
    </cfRule>
    <cfRule type="expression" dxfId="1003" priority="182">
      <formula>IF(LEFT($A$7,2)="01",1,0)</formula>
    </cfRule>
    <cfRule type="expression" dxfId="1002" priority="185">
      <formula>IF(LEFT($A$7,2)="04",1,0)</formula>
    </cfRule>
    <cfRule type="expression" dxfId="1001" priority="184">
      <formula>IF(LEFT($A$7,2)="03",1,0)</formula>
    </cfRule>
    <cfRule type="expression" dxfId="1000" priority="183">
      <formula>IF(LEFT($A$7,2)="02",1,0)</formula>
    </cfRule>
  </conditionalFormatting>
  <conditionalFormatting sqref="D554:S554">
    <cfRule type="expression" dxfId="999" priority="181">
      <formula>IF(LEFT($A$7,2)="05",1,0)</formula>
    </cfRule>
    <cfRule type="expression" dxfId="998" priority="177">
      <formula>IF(LEFT($A$7,2)="01",1,0)</formula>
    </cfRule>
    <cfRule type="expression" dxfId="997" priority="178">
      <formula>IF(LEFT($A$7,2)="02",1,0)</formula>
    </cfRule>
    <cfRule type="expression" dxfId="996" priority="179">
      <formula>IF(LEFT($A$7,2)="03",1,0)</formula>
    </cfRule>
    <cfRule type="expression" dxfId="995" priority="180">
      <formula>IF(LEFT($A$7,2)="04",1,0)</formula>
    </cfRule>
  </conditionalFormatting>
  <conditionalFormatting sqref="D604:S604">
    <cfRule type="expression" dxfId="994" priority="173">
      <formula>IF(LEFT($A$7,2)="02",1,0)</formula>
    </cfRule>
    <cfRule type="expression" dxfId="993" priority="175">
      <formula>IF(LEFT($A$7,2)="04",1,0)</formula>
    </cfRule>
    <cfRule type="expression" dxfId="992" priority="176">
      <formula>IF(LEFT($A$7,2)="05",1,0)</formula>
    </cfRule>
    <cfRule type="expression" dxfId="991" priority="174">
      <formula>IF(LEFT($A$7,2)="03",1,0)</formula>
    </cfRule>
    <cfRule type="expression" dxfId="990" priority="172">
      <formula>IF(LEFT($A$7,2)="01",1,0)</formula>
    </cfRule>
  </conditionalFormatting>
  <conditionalFormatting sqref="D654:S654">
    <cfRule type="expression" dxfId="989" priority="171">
      <formula>IF(LEFT($A$7,2)="05",1,0)</formula>
    </cfRule>
    <cfRule type="expression" dxfId="988" priority="170">
      <formula>IF(LEFT($A$7,2)="04",1,0)</formula>
    </cfRule>
    <cfRule type="expression" dxfId="987" priority="169">
      <formula>IF(LEFT($A$7,2)="03",1,0)</formula>
    </cfRule>
    <cfRule type="expression" dxfId="986" priority="168">
      <formula>IF(LEFT($A$7,2)="02",1,0)</formula>
    </cfRule>
    <cfRule type="expression" dxfId="985" priority="167">
      <formula>IF(LEFT($A$7,2)="01",1,0)</formula>
    </cfRule>
  </conditionalFormatting>
  <conditionalFormatting sqref="D704:S704">
    <cfRule type="expression" dxfId="984" priority="163">
      <formula>IF(LEFT($A$7,2)="02",1,0)</formula>
    </cfRule>
    <cfRule type="expression" dxfId="983" priority="162">
      <formula>IF(LEFT($A$7,2)="01",1,0)</formula>
    </cfRule>
    <cfRule type="expression" dxfId="982" priority="166">
      <formula>IF(LEFT($A$7,2)="05",1,0)</formula>
    </cfRule>
    <cfRule type="expression" dxfId="981" priority="165">
      <formula>IF(LEFT($A$7,2)="04",1,0)</formula>
    </cfRule>
    <cfRule type="expression" dxfId="980" priority="164">
      <formula>IF(LEFT($A$7,2)="03",1,0)</formula>
    </cfRule>
  </conditionalFormatting>
  <conditionalFormatting sqref="D754:S754">
    <cfRule type="expression" dxfId="979" priority="161">
      <formula>IF(LEFT($A$7,2)="05",1,0)</formula>
    </cfRule>
    <cfRule type="expression" dxfId="978" priority="160">
      <formula>IF(LEFT($A$7,2)="04",1,0)</formula>
    </cfRule>
    <cfRule type="expression" dxfId="977" priority="159">
      <formula>IF(LEFT($A$7,2)="03",1,0)</formula>
    </cfRule>
    <cfRule type="expression" dxfId="976" priority="158">
      <formula>IF(LEFT($A$7,2)="02",1,0)</formula>
    </cfRule>
    <cfRule type="expression" dxfId="975" priority="157">
      <formula>IF(LEFT($A$7,2)="01",1,0)</formula>
    </cfRule>
  </conditionalFormatting>
  <conditionalFormatting sqref="G8">
    <cfRule type="cellIs" dxfId="974" priority="34" operator="equal">
      <formula>5</formula>
    </cfRule>
    <cfRule type="cellIs" dxfId="973" priority="35" operator="equal">
      <formula>6</formula>
    </cfRule>
    <cfRule type="cellIs" dxfId="972" priority="36" operator="equal">
      <formula>7</formula>
    </cfRule>
    <cfRule type="cellIs" dxfId="971" priority="38" operator="equal">
      <formula>"x"</formula>
    </cfRule>
    <cfRule type="cellIs" dxfId="970" priority="39" operator="equal">
      <formula>1</formula>
    </cfRule>
    <cfRule type="cellIs" dxfId="969" priority="40" operator="equal">
      <formula>2</formula>
    </cfRule>
    <cfRule type="cellIs" dxfId="968" priority="42" operator="equal">
      <formula>4</formula>
    </cfRule>
    <cfRule type="cellIs" dxfId="967" priority="43" operator="equal">
      <formula>5</formula>
    </cfRule>
    <cfRule type="cellIs" dxfId="966" priority="44" operator="equal">
      <formula>6</formula>
    </cfRule>
    <cfRule type="cellIs" dxfId="965" priority="41" operator="equal">
      <formula>3</formula>
    </cfRule>
    <cfRule type="cellIs" dxfId="964" priority="31" operator="equal">
      <formula>2</formula>
    </cfRule>
    <cfRule type="cellIs" dxfId="963" priority="32" operator="equal">
      <formula>3</formula>
    </cfRule>
    <cfRule type="cellIs" dxfId="962" priority="33" operator="equal">
      <formula>4</formula>
    </cfRule>
  </conditionalFormatting>
  <conditionalFormatting sqref="G10 G12">
    <cfRule type="cellIs" dxfId="961" priority="156" operator="equal">
      <formula>6</formula>
    </cfRule>
    <cfRule type="cellIs" dxfId="960" priority="153" operator="equal">
      <formula>3</formula>
    </cfRule>
    <cfRule type="cellIs" dxfId="959" priority="152" operator="equal">
      <formula>2</formula>
    </cfRule>
    <cfRule type="cellIs" dxfId="958" priority="151" operator="equal">
      <formula>1</formula>
    </cfRule>
    <cfRule type="cellIs" dxfId="957" priority="150" operator="equal">
      <formula>"x"</formula>
    </cfRule>
    <cfRule type="cellIs" dxfId="956" priority="148" operator="equal">
      <formula>7</formula>
    </cfRule>
    <cfRule type="cellIs" dxfId="955" priority="155" operator="equal">
      <formula>5</formula>
    </cfRule>
    <cfRule type="cellIs" dxfId="954" priority="147" operator="equal">
      <formula>6</formula>
    </cfRule>
    <cfRule type="cellIs" dxfId="953" priority="146" operator="equal">
      <formula>5</formula>
    </cfRule>
    <cfRule type="cellIs" dxfId="952" priority="145" operator="equal">
      <formula>4</formula>
    </cfRule>
    <cfRule type="cellIs" dxfId="951" priority="144" operator="equal">
      <formula>3</formula>
    </cfRule>
    <cfRule type="cellIs" dxfId="950" priority="143" operator="equal">
      <formula>2</formula>
    </cfRule>
    <cfRule type="cellIs" dxfId="949" priority="154" operator="equal">
      <formula>4</formula>
    </cfRule>
  </conditionalFormatting>
  <conditionalFormatting sqref="G14">
    <cfRule type="cellIs" dxfId="948" priority="131" operator="equal">
      <formula>4</formula>
    </cfRule>
    <cfRule type="cellIs" dxfId="947" priority="132" operator="equal">
      <formula>5</formula>
    </cfRule>
    <cfRule type="cellIs" dxfId="946" priority="133" operator="equal">
      <formula>6</formula>
    </cfRule>
    <cfRule type="cellIs" dxfId="945" priority="134" operator="equal">
      <formula>7</formula>
    </cfRule>
    <cfRule type="cellIs" dxfId="944" priority="136" operator="equal">
      <formula>"x"</formula>
    </cfRule>
    <cfRule type="cellIs" dxfId="943" priority="137" operator="equal">
      <formula>1</formula>
    </cfRule>
    <cfRule type="cellIs" dxfId="942" priority="129" operator="equal">
      <formula>2</formula>
    </cfRule>
    <cfRule type="cellIs" dxfId="941" priority="139" operator="equal">
      <formula>3</formula>
    </cfRule>
    <cfRule type="cellIs" dxfId="940" priority="140" operator="equal">
      <formula>4</formula>
    </cfRule>
    <cfRule type="cellIs" dxfId="939" priority="141" operator="equal">
      <formula>5</formula>
    </cfRule>
    <cfRule type="cellIs" dxfId="938" priority="142" operator="equal">
      <formula>6</formula>
    </cfRule>
    <cfRule type="cellIs" dxfId="937" priority="138" operator="equal">
      <formula>2</formula>
    </cfRule>
    <cfRule type="cellIs" dxfId="936" priority="130" operator="equal">
      <formula>3</formula>
    </cfRule>
  </conditionalFormatting>
  <conditionalFormatting sqref="G16">
    <cfRule type="cellIs" dxfId="935" priority="120" operator="equal">
      <formula>7</formula>
    </cfRule>
    <cfRule type="cellIs" dxfId="934" priority="126" operator="equal">
      <formula>4</formula>
    </cfRule>
    <cfRule type="cellIs" dxfId="933" priority="128" operator="equal">
      <formula>6</formula>
    </cfRule>
    <cfRule type="cellIs" dxfId="932" priority="125" operator="equal">
      <formula>3</formula>
    </cfRule>
    <cfRule type="cellIs" dxfId="931" priority="123" operator="equal">
      <formula>1</formula>
    </cfRule>
    <cfRule type="cellIs" dxfId="930" priority="122" operator="equal">
      <formula>"x"</formula>
    </cfRule>
    <cfRule type="cellIs" dxfId="929" priority="117" operator="equal">
      <formula>4</formula>
    </cfRule>
    <cfRule type="cellIs" dxfId="928" priority="119" operator="equal">
      <formula>6</formula>
    </cfRule>
    <cfRule type="cellIs" dxfId="927" priority="118" operator="equal">
      <formula>5</formula>
    </cfRule>
    <cfRule type="cellIs" dxfId="926" priority="124" operator="equal">
      <formula>2</formula>
    </cfRule>
    <cfRule type="cellIs" dxfId="925" priority="115" operator="equal">
      <formula>2</formula>
    </cfRule>
    <cfRule type="cellIs" dxfId="924" priority="116" operator="equal">
      <formula>3</formula>
    </cfRule>
    <cfRule type="cellIs" dxfId="923" priority="127" operator="equal">
      <formula>5</formula>
    </cfRule>
  </conditionalFormatting>
  <conditionalFormatting sqref="G18">
    <cfRule type="cellIs" dxfId="922" priority="104" operator="equal">
      <formula>5</formula>
    </cfRule>
    <cfRule type="cellIs" dxfId="921" priority="105" operator="equal">
      <formula>6</formula>
    </cfRule>
    <cfRule type="cellIs" dxfId="920" priority="106" operator="equal">
      <formula>7</formula>
    </cfRule>
    <cfRule type="cellIs" dxfId="919" priority="108" operator="equal">
      <formula>"x"</formula>
    </cfRule>
    <cfRule type="cellIs" dxfId="918" priority="109" operator="equal">
      <formula>1</formula>
    </cfRule>
    <cfRule type="cellIs" dxfId="917" priority="110" operator="equal">
      <formula>2</formula>
    </cfRule>
    <cfRule type="cellIs" dxfId="916" priority="111" operator="equal">
      <formula>3</formula>
    </cfRule>
    <cfRule type="cellIs" dxfId="915" priority="113" operator="equal">
      <formula>5</formula>
    </cfRule>
    <cfRule type="cellIs" dxfId="914" priority="114" operator="equal">
      <formula>6</formula>
    </cfRule>
    <cfRule type="cellIs" dxfId="913" priority="112" operator="equal">
      <formula>4</formula>
    </cfRule>
    <cfRule type="cellIs" dxfId="912" priority="103" operator="equal">
      <formula>4</formula>
    </cfRule>
    <cfRule type="cellIs" dxfId="911" priority="101" operator="equal">
      <formula>2</formula>
    </cfRule>
    <cfRule type="cellIs" dxfId="910" priority="102" operator="equal">
      <formula>3</formula>
    </cfRule>
  </conditionalFormatting>
  <conditionalFormatting sqref="G20">
    <cfRule type="cellIs" dxfId="909" priority="87" operator="equal">
      <formula>2</formula>
    </cfRule>
    <cfRule type="cellIs" dxfId="908" priority="88" operator="equal">
      <formula>3</formula>
    </cfRule>
    <cfRule type="cellIs" dxfId="907" priority="89" operator="equal">
      <formula>4</formula>
    </cfRule>
    <cfRule type="cellIs" dxfId="906" priority="90" operator="equal">
      <formula>5</formula>
    </cfRule>
    <cfRule type="cellIs" dxfId="905" priority="91" operator="equal">
      <formula>6</formula>
    </cfRule>
    <cfRule type="cellIs" dxfId="904" priority="92" operator="equal">
      <formula>7</formula>
    </cfRule>
    <cfRule type="cellIs" dxfId="903" priority="94" operator="equal">
      <formula>"x"</formula>
    </cfRule>
    <cfRule type="cellIs" dxfId="902" priority="96" operator="equal">
      <formula>2</formula>
    </cfRule>
    <cfRule type="cellIs" dxfId="901" priority="97" operator="equal">
      <formula>3</formula>
    </cfRule>
    <cfRule type="cellIs" dxfId="900" priority="98" operator="equal">
      <formula>4</formula>
    </cfRule>
    <cfRule type="cellIs" dxfId="899" priority="99" operator="equal">
      <formula>5</formula>
    </cfRule>
    <cfRule type="cellIs" dxfId="898" priority="100" operator="equal">
      <formula>6</formula>
    </cfRule>
    <cfRule type="cellIs" dxfId="897" priority="95" operator="equal">
      <formula>1</formula>
    </cfRule>
  </conditionalFormatting>
  <conditionalFormatting sqref="G22 G24 G26 G28 G30 G32 G34 G36">
    <cfRule type="cellIs" dxfId="896" priority="80" operator="equal">
      <formula>"x"</formula>
    </cfRule>
    <cfRule type="cellIs" dxfId="895" priority="81" operator="equal">
      <formula>1</formula>
    </cfRule>
    <cfRule type="cellIs" dxfId="894" priority="83" operator="equal">
      <formula>3</formula>
    </cfRule>
    <cfRule type="cellIs" dxfId="893" priority="84" operator="equal">
      <formula>4</formula>
    </cfRule>
    <cfRule type="cellIs" dxfId="892" priority="85" operator="equal">
      <formula>5</formula>
    </cfRule>
    <cfRule type="cellIs" dxfId="891" priority="86" operator="equal">
      <formula>6</formula>
    </cfRule>
    <cfRule type="cellIs" dxfId="890" priority="82" operator="equal">
      <formula>2</formula>
    </cfRule>
    <cfRule type="cellIs" dxfId="889" priority="73" operator="equal">
      <formula>2</formula>
    </cfRule>
    <cfRule type="cellIs" dxfId="888" priority="74" operator="equal">
      <formula>3</formula>
    </cfRule>
    <cfRule type="cellIs" dxfId="887" priority="75" operator="equal">
      <formula>4</formula>
    </cfRule>
    <cfRule type="cellIs" dxfId="886" priority="76" operator="equal">
      <formula>5</formula>
    </cfRule>
    <cfRule type="cellIs" dxfId="885" priority="77" operator="equal">
      <formula>6</formula>
    </cfRule>
    <cfRule type="cellIs" dxfId="884" priority="78" operator="equal">
      <formula>7</formula>
    </cfRule>
  </conditionalFormatting>
  <conditionalFormatting sqref="G38">
    <cfRule type="cellIs" dxfId="883" priority="67" operator="equal">
      <formula>1</formula>
    </cfRule>
    <cfRule type="cellIs" dxfId="882" priority="72" operator="equal">
      <formula>6</formula>
    </cfRule>
    <cfRule type="cellIs" dxfId="881" priority="71" operator="equal">
      <formula>5</formula>
    </cfRule>
    <cfRule type="cellIs" dxfId="880" priority="70" operator="equal">
      <formula>4</formula>
    </cfRule>
    <cfRule type="cellIs" dxfId="879" priority="69" operator="equal">
      <formula>3</formula>
    </cfRule>
    <cfRule type="cellIs" dxfId="878" priority="61" operator="equal">
      <formula>4</formula>
    </cfRule>
    <cfRule type="cellIs" dxfId="877" priority="68" operator="equal">
      <formula>2</formula>
    </cfRule>
    <cfRule type="cellIs" dxfId="876" priority="60" operator="equal">
      <formula>3</formula>
    </cfRule>
    <cfRule type="cellIs" dxfId="875" priority="66" operator="equal">
      <formula>"x"</formula>
    </cfRule>
    <cfRule type="cellIs" dxfId="874" priority="64" operator="equal">
      <formula>7</formula>
    </cfRule>
    <cfRule type="cellIs" dxfId="873" priority="63" operator="equal">
      <formula>6</formula>
    </cfRule>
    <cfRule type="cellIs" dxfId="872" priority="62" operator="equal">
      <formula>5</formula>
    </cfRule>
    <cfRule type="cellIs" dxfId="871" priority="59" operator="equal">
      <formula>2</formula>
    </cfRule>
  </conditionalFormatting>
  <conditionalFormatting sqref="G8:H8 G10:H10 G12:H12 G14:H14 G16:H16 G18:H18 G20:H20 G22:H22 G24:H24 G26:H26 G28:H28 G30:H30 G32:H32 G34:H34 G36:H36 G38:H38">
    <cfRule type="cellIs" dxfId="870" priority="2" operator="equal">
      <formula>1</formula>
    </cfRule>
  </conditionalFormatting>
  <conditionalFormatting sqref="H8 H10 H12 H14 H16 H18 H20 H22 H24 H26 H28 H30 H32 H34 H36 H38">
    <cfRule type="cellIs" dxfId="869" priority="4" operator="equal">
      <formula>3</formula>
    </cfRule>
    <cfRule type="cellIs" dxfId="868" priority="3" operator="equal">
      <formula>2</formula>
    </cfRule>
    <cfRule type="cellIs" dxfId="867" priority="1" operator="equal">
      <formula>0</formula>
    </cfRule>
    <cfRule type="cellIs" dxfId="866" priority="6" operator="equal">
      <formula>5</formula>
    </cfRule>
    <cfRule type="cellIs" dxfId="865" priority="5" operator="equal">
      <formula>4</formula>
    </cfRule>
  </conditionalFormatting>
  <conditionalFormatting sqref="H60:S75">
    <cfRule type="cellIs" dxfId="864" priority="319" operator="equal">
      <formula>3</formula>
    </cfRule>
    <cfRule type="cellIs" dxfId="863" priority="318" operator="equal">
      <formula>2</formula>
    </cfRule>
    <cfRule type="cellIs" dxfId="862" priority="317" operator="equal">
      <formula>1</formula>
    </cfRule>
    <cfRule type="cellIs" dxfId="861" priority="311" operator="equal">
      <formula>0</formula>
    </cfRule>
    <cfRule type="cellIs" dxfId="860" priority="320" operator="equal">
      <formula>4</formula>
    </cfRule>
    <cfRule type="cellIs" dxfId="859" priority="321" operator="equal">
      <formula>5</formula>
    </cfRule>
  </conditionalFormatting>
  <conditionalFormatting sqref="H110:S125">
    <cfRule type="cellIs" dxfId="858" priority="309" operator="equal">
      <formula>4</formula>
    </cfRule>
    <cfRule type="cellIs" dxfId="857" priority="310" operator="equal">
      <formula>5</formula>
    </cfRule>
    <cfRule type="cellIs" dxfId="856" priority="306" operator="equal">
      <formula>1</formula>
    </cfRule>
    <cfRule type="cellIs" dxfId="855" priority="305" operator="equal">
      <formula>0</formula>
    </cfRule>
    <cfRule type="cellIs" dxfId="854" priority="307" operator="equal">
      <formula>2</formula>
    </cfRule>
    <cfRule type="cellIs" dxfId="853" priority="308" operator="equal">
      <formula>3</formula>
    </cfRule>
  </conditionalFormatting>
  <conditionalFormatting sqref="H160:S175">
    <cfRule type="cellIs" dxfId="852" priority="301" operator="equal">
      <formula>2</formula>
    </cfRule>
    <cfRule type="cellIs" dxfId="851" priority="300" operator="equal">
      <formula>1</formula>
    </cfRule>
    <cfRule type="cellIs" dxfId="850" priority="299" operator="equal">
      <formula>0</formula>
    </cfRule>
    <cfRule type="cellIs" dxfId="849" priority="304" operator="equal">
      <formula>5</formula>
    </cfRule>
    <cfRule type="cellIs" dxfId="848" priority="303" operator="equal">
      <formula>4</formula>
    </cfRule>
    <cfRule type="cellIs" dxfId="847" priority="302" operator="equal">
      <formula>3</formula>
    </cfRule>
  </conditionalFormatting>
  <conditionalFormatting sqref="H210:S225">
    <cfRule type="cellIs" dxfId="846" priority="298" operator="equal">
      <formula>5</formula>
    </cfRule>
    <cfRule type="cellIs" dxfId="845" priority="297" operator="equal">
      <formula>4</formula>
    </cfRule>
    <cfRule type="cellIs" dxfId="844" priority="296" operator="equal">
      <formula>3</formula>
    </cfRule>
    <cfRule type="cellIs" dxfId="843" priority="295" operator="equal">
      <formula>2</formula>
    </cfRule>
    <cfRule type="cellIs" dxfId="842" priority="294" operator="equal">
      <formula>1</formula>
    </cfRule>
    <cfRule type="cellIs" dxfId="841" priority="293" operator="equal">
      <formula>0</formula>
    </cfRule>
  </conditionalFormatting>
  <conditionalFormatting sqref="H260:S275">
    <cfRule type="cellIs" dxfId="840" priority="292" operator="equal">
      <formula>5</formula>
    </cfRule>
    <cfRule type="cellIs" dxfId="839" priority="291" operator="equal">
      <formula>4</formula>
    </cfRule>
    <cfRule type="cellIs" dxfId="838" priority="290" operator="equal">
      <formula>3</formula>
    </cfRule>
    <cfRule type="cellIs" dxfId="837" priority="289" operator="equal">
      <formula>2</formula>
    </cfRule>
    <cfRule type="cellIs" dxfId="836" priority="288" operator="equal">
      <formula>1</formula>
    </cfRule>
    <cfRule type="cellIs" dxfId="835" priority="287" operator="equal">
      <formula>0</formula>
    </cfRule>
  </conditionalFormatting>
  <conditionalFormatting sqref="H310:S325">
    <cfRule type="cellIs" dxfId="834" priority="283" operator="equal">
      <formula>2</formula>
    </cfRule>
    <cfRule type="cellIs" dxfId="833" priority="282" operator="equal">
      <formula>1</formula>
    </cfRule>
    <cfRule type="cellIs" dxfId="832" priority="285" operator="equal">
      <formula>4</formula>
    </cfRule>
    <cfRule type="cellIs" dxfId="831" priority="284" operator="equal">
      <formula>3</formula>
    </cfRule>
    <cfRule type="cellIs" dxfId="830" priority="281" operator="equal">
      <formula>0</formula>
    </cfRule>
    <cfRule type="cellIs" dxfId="829" priority="286" operator="equal">
      <formula>5</formula>
    </cfRule>
  </conditionalFormatting>
  <conditionalFormatting sqref="H360:S375">
    <cfRule type="cellIs" dxfId="828" priority="278" operator="equal">
      <formula>3</formula>
    </cfRule>
    <cfRule type="cellIs" dxfId="827" priority="280" operator="equal">
      <formula>5</formula>
    </cfRule>
    <cfRule type="cellIs" dxfId="826" priority="279" operator="equal">
      <formula>4</formula>
    </cfRule>
    <cfRule type="cellIs" dxfId="825" priority="277" operator="equal">
      <formula>2</formula>
    </cfRule>
    <cfRule type="cellIs" dxfId="824" priority="276" operator="equal">
      <formula>1</formula>
    </cfRule>
    <cfRule type="cellIs" dxfId="823" priority="275" operator="equal">
      <formula>0</formula>
    </cfRule>
  </conditionalFormatting>
  <conditionalFormatting sqref="H410:S425">
    <cfRule type="cellIs" dxfId="822" priority="269" operator="equal">
      <formula>0</formula>
    </cfRule>
    <cfRule type="cellIs" dxfId="821" priority="270" operator="equal">
      <formula>1</formula>
    </cfRule>
    <cfRule type="cellIs" dxfId="820" priority="271" operator="equal">
      <formula>2</formula>
    </cfRule>
    <cfRule type="cellIs" dxfId="819" priority="272" operator="equal">
      <formula>3</formula>
    </cfRule>
    <cfRule type="cellIs" dxfId="818" priority="273" operator="equal">
      <formula>4</formula>
    </cfRule>
    <cfRule type="cellIs" dxfId="817" priority="274" operator="equal">
      <formula>5</formula>
    </cfRule>
  </conditionalFormatting>
  <conditionalFormatting sqref="H460:S475">
    <cfRule type="cellIs" dxfId="816" priority="265" operator="equal">
      <formula>2</formula>
    </cfRule>
    <cfRule type="cellIs" dxfId="815" priority="264" operator="equal">
      <formula>1</formula>
    </cfRule>
    <cfRule type="cellIs" dxfId="814" priority="266" operator="equal">
      <formula>3</formula>
    </cfRule>
    <cfRule type="cellIs" dxfId="813" priority="267" operator="equal">
      <formula>4</formula>
    </cfRule>
    <cfRule type="cellIs" dxfId="812" priority="263" operator="equal">
      <formula>0</formula>
    </cfRule>
    <cfRule type="cellIs" dxfId="811" priority="268" operator="equal">
      <formula>5</formula>
    </cfRule>
  </conditionalFormatting>
  <conditionalFormatting sqref="H510:S525">
    <cfRule type="cellIs" dxfId="810" priority="261" operator="equal">
      <formula>4</formula>
    </cfRule>
    <cfRule type="cellIs" dxfId="809" priority="260" operator="equal">
      <formula>3</formula>
    </cfRule>
    <cfRule type="cellIs" dxfId="808" priority="259" operator="equal">
      <formula>2</formula>
    </cfRule>
    <cfRule type="cellIs" dxfId="807" priority="258" operator="equal">
      <formula>1</formula>
    </cfRule>
    <cfRule type="cellIs" dxfId="806" priority="257" operator="equal">
      <formula>0</formula>
    </cfRule>
    <cfRule type="cellIs" dxfId="805" priority="262" operator="equal">
      <formula>5</formula>
    </cfRule>
  </conditionalFormatting>
  <conditionalFormatting sqref="H560:S575">
    <cfRule type="cellIs" dxfId="804" priority="252" operator="equal">
      <formula>1</formula>
    </cfRule>
    <cfRule type="cellIs" dxfId="803" priority="253" operator="equal">
      <formula>2</formula>
    </cfRule>
    <cfRule type="cellIs" dxfId="802" priority="254" operator="equal">
      <formula>3</formula>
    </cfRule>
    <cfRule type="cellIs" dxfId="801" priority="255" operator="equal">
      <formula>4</formula>
    </cfRule>
    <cfRule type="cellIs" dxfId="800" priority="256" operator="equal">
      <formula>5</formula>
    </cfRule>
    <cfRule type="cellIs" dxfId="799" priority="251" operator="equal">
      <formula>0</formula>
    </cfRule>
  </conditionalFormatting>
  <conditionalFormatting sqref="H610:S625">
    <cfRule type="cellIs" dxfId="798" priority="250" operator="equal">
      <formula>5</formula>
    </cfRule>
    <cfRule type="cellIs" dxfId="797" priority="245" operator="equal">
      <formula>0</formula>
    </cfRule>
    <cfRule type="cellIs" dxfId="796" priority="246" operator="equal">
      <formula>1</formula>
    </cfRule>
    <cfRule type="cellIs" dxfId="795" priority="247" operator="equal">
      <formula>2</formula>
    </cfRule>
    <cfRule type="cellIs" dxfId="794" priority="248" operator="equal">
      <formula>3</formula>
    </cfRule>
    <cfRule type="cellIs" dxfId="793" priority="249" operator="equal">
      <formula>4</formula>
    </cfRule>
  </conditionalFormatting>
  <conditionalFormatting sqref="H660:S675">
    <cfRule type="cellIs" dxfId="792" priority="242" operator="equal">
      <formula>3</formula>
    </cfRule>
    <cfRule type="cellIs" dxfId="791" priority="244" operator="equal">
      <formula>5</formula>
    </cfRule>
    <cfRule type="cellIs" dxfId="790" priority="243" operator="equal">
      <formula>4</formula>
    </cfRule>
    <cfRule type="cellIs" dxfId="789" priority="239" operator="equal">
      <formula>0</formula>
    </cfRule>
    <cfRule type="cellIs" dxfId="788" priority="240" operator="equal">
      <formula>1</formula>
    </cfRule>
    <cfRule type="cellIs" dxfId="787" priority="241" operator="equal">
      <formula>2</formula>
    </cfRule>
  </conditionalFormatting>
  <conditionalFormatting sqref="H710:S725">
    <cfRule type="cellIs" dxfId="786" priority="236" operator="equal">
      <formula>3</formula>
    </cfRule>
    <cfRule type="cellIs" dxfId="785" priority="235" operator="equal">
      <formula>2</formula>
    </cfRule>
    <cfRule type="cellIs" dxfId="784" priority="234" operator="equal">
      <formula>1</formula>
    </cfRule>
    <cfRule type="cellIs" dxfId="783" priority="233" operator="equal">
      <formula>0</formula>
    </cfRule>
    <cfRule type="cellIs" dxfId="782" priority="237" operator="equal">
      <formula>4</formula>
    </cfRule>
    <cfRule type="cellIs" dxfId="781" priority="238" operator="equal">
      <formula>5</formula>
    </cfRule>
  </conditionalFormatting>
  <conditionalFormatting sqref="H760:S775">
    <cfRule type="cellIs" dxfId="780" priority="232" operator="equal">
      <formula>5</formula>
    </cfRule>
    <cfRule type="cellIs" dxfId="779" priority="231" operator="equal">
      <formula>4</formula>
    </cfRule>
    <cfRule type="cellIs" dxfId="778" priority="229" operator="equal">
      <formula>2</formula>
    </cfRule>
    <cfRule type="cellIs" dxfId="777" priority="228" operator="equal">
      <formula>1</formula>
    </cfRule>
    <cfRule type="cellIs" dxfId="776" priority="227" operator="equal">
      <formula>0</formula>
    </cfRule>
    <cfRule type="cellIs" dxfId="775" priority="230" operator="equal">
      <formula>3</formula>
    </cfRule>
  </conditionalFormatting>
  <conditionalFormatting sqref="J8">
    <cfRule type="cellIs" dxfId="774" priority="17" operator="equal">
      <formula>2</formula>
    </cfRule>
    <cfRule type="cellIs" dxfId="773" priority="18" operator="equal">
      <formula>3</formula>
    </cfRule>
    <cfRule type="cellIs" dxfId="772" priority="22" operator="equal">
      <formula>7</formula>
    </cfRule>
    <cfRule type="cellIs" dxfId="771" priority="30" operator="equal">
      <formula>6</formula>
    </cfRule>
    <cfRule type="cellIs" dxfId="770" priority="29" operator="equal">
      <formula>5</formula>
    </cfRule>
    <cfRule type="cellIs" dxfId="769" priority="28" operator="equal">
      <formula>4</formula>
    </cfRule>
    <cfRule type="cellIs" dxfId="768" priority="26" operator="equal">
      <formula>2</formula>
    </cfRule>
    <cfRule type="cellIs" dxfId="767" priority="25" operator="equal">
      <formula>1</formula>
    </cfRule>
    <cfRule type="cellIs" dxfId="766" priority="24" operator="equal">
      <formula>"x"</formula>
    </cfRule>
    <cfRule type="cellIs" dxfId="765" priority="27" operator="equal">
      <formula>3</formula>
    </cfRule>
    <cfRule type="cellIs" dxfId="764" priority="23" operator="equal">
      <formula>1</formula>
    </cfRule>
    <cfRule type="cellIs" dxfId="763" priority="21" operator="equal">
      <formula>6</formula>
    </cfRule>
    <cfRule type="cellIs" dxfId="762" priority="20" operator="equal">
      <formula>5</formula>
    </cfRule>
    <cfRule type="cellIs" dxfId="761" priority="19" operator="equal">
      <formula>4</formula>
    </cfRule>
  </conditionalFormatting>
  <conditionalFormatting sqref="J10 J12 J14 J16 J18 J20 J22 J24 J26 J28 J30 J32 J34 J36 J38">
    <cfRule type="cellIs" dxfId="760" priority="53" operator="equal">
      <formula>1</formula>
    </cfRule>
    <cfRule type="cellIs" dxfId="759" priority="48" operator="equal">
      <formula>5</formula>
    </cfRule>
    <cfRule type="cellIs" dxfId="758" priority="49" operator="equal">
      <formula>6</formula>
    </cfRule>
    <cfRule type="cellIs" dxfId="757" priority="50" operator="equal">
      <formula>7</formula>
    </cfRule>
    <cfRule type="cellIs" dxfId="756" priority="51" operator="equal">
      <formula>1</formula>
    </cfRule>
    <cfRule type="cellIs" dxfId="755" priority="52" operator="equal">
      <formula>"x"</formula>
    </cfRule>
    <cfRule type="cellIs" dxfId="754" priority="47" operator="equal">
      <formula>4</formula>
    </cfRule>
    <cfRule type="cellIs" dxfId="753" priority="46" operator="equal">
      <formula>3</formula>
    </cfRule>
    <cfRule type="cellIs" dxfId="752" priority="45" operator="equal">
      <formula>2</formula>
    </cfRule>
    <cfRule type="cellIs" dxfId="751" priority="58" operator="equal">
      <formula>6</formula>
    </cfRule>
    <cfRule type="cellIs" dxfId="750" priority="57" operator="equal">
      <formula>5</formula>
    </cfRule>
    <cfRule type="cellIs" dxfId="749" priority="56" operator="equal">
      <formula>4</formula>
    </cfRule>
    <cfRule type="cellIs" dxfId="748" priority="54" operator="equal">
      <formula>2</formula>
    </cfRule>
    <cfRule type="cellIs" dxfId="747" priority="55" operator="equal">
      <formula>3</formula>
    </cfRule>
  </conditionalFormatting>
  <dataValidations disablePrompts="1" count="1">
    <dataValidation type="list" allowBlank="1" showInputMessage="1" showErrorMessage="1" sqref="H60:S75 H110:S125 H160:S175 H210:S225 H260:S275 H310:S325 H360:S375 H410:S425 H460:S475 H510:S525 H560:S575 H610:S625 H660:S675 H710:S725 H760:S775" xr:uid="{00000000-0002-0000-1A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A00-000001000000}">
          <x14:formula1>
            <xm:f>LEGENDA!$B$5:$B$10</xm:f>
          </x14:formula1>
          <xm:sqref>H8:I9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41">
    <tabColor rgb="FFFF6165"/>
    <pageSetUpPr fitToPage="1"/>
  </sheetPr>
  <dimension ref="A1:AO790"/>
  <sheetViews>
    <sheetView topLeftCell="B1" zoomScale="80" zoomScaleNormal="80" zoomScalePageLayoutView="80" workbookViewId="0">
      <pane ySplit="2" topLeftCell="A3" activePane="bottomLeft" state="frozen"/>
      <selection activeCell="G311" sqref="G311"/>
      <selection pane="bottomLeft" activeCell="G311" sqref="G311"/>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bestFit="1"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6</v>
      </c>
      <c r="M4" s="383"/>
      <c r="N4" s="383"/>
      <c r="O4" s="384"/>
      <c r="P4" s="382" t="s">
        <v>6</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0</v>
      </c>
      <c r="I8" s="360"/>
      <c r="J8" s="363" t="s">
        <v>6</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343" t="s">
        <v>19</v>
      </c>
      <c r="G10" s="344" t="s">
        <v>20</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16"/>
      <c r="B11" s="16"/>
      <c r="C11"/>
      <c r="D11" s="376"/>
      <c r="E11" s="326"/>
      <c r="F11" s="306"/>
      <c r="G11" s="308"/>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t="s">
        <v>23</v>
      </c>
      <c r="G12" s="307" t="s">
        <v>24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t="s">
        <v>27</v>
      </c>
      <c r="G14" s="307" t="s">
        <v>28</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t="s">
        <v>31</v>
      </c>
      <c r="G16" s="307" t="s">
        <v>32</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306"/>
      <c r="G17" s="308"/>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306" t="s">
        <v>33</v>
      </c>
      <c r="G18" s="307" t="s">
        <v>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306"/>
      <c r="G19" s="308"/>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306" t="s">
        <v>35</v>
      </c>
      <c r="G20" s="307" t="s">
        <v>36</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306"/>
      <c r="G21" s="308"/>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306" t="s">
        <v>38</v>
      </c>
      <c r="G22" s="307" t="s">
        <v>39</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306"/>
      <c r="G23" s="308"/>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306" t="s">
        <v>41</v>
      </c>
      <c r="G24" s="307" t="s">
        <v>42</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306"/>
      <c r="G25" s="308"/>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t="str">
        <f ca="1">OFFSET($G$7,2*(D53+1)-1,0)</f>
        <v>A</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t="str">
        <f ca="1">OFFSET($G$7,2*(D103+1)-1,0)</f>
        <v>B</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t="str">
        <f ca="1">OFFSET($G$7,2*(D153+1)-1,0)</f>
        <v>C</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t="str">
        <f ca="1">OFFSET($G$7,2*(D203+1)-1,0)</f>
        <v>D</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t="str">
        <f ca="1">OFFSET($G$7,2*(D253+1)-1,0)</f>
        <v>E</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t="str">
        <f ca="1">OFFSET($G$7,2*(D303+1)-1,0)</f>
        <v>F</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t="str">
        <f ca="1">OFFSET($G$7,2*(D353+1)-1,0)</f>
        <v>G</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t="str">
        <f ca="1">OFFSET($G$7,2*(D403+1)-1,0)</f>
        <v>H</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746" priority="16">
      <formula>IF(LEFT($A$7,2)="05",1,0)</formula>
    </cfRule>
    <cfRule type="expression" dxfId="745" priority="8" stopIfTrue="1">
      <formula>IF(LEFT($A$7,2)="01",1,0)</formula>
    </cfRule>
    <cfRule type="expression" dxfId="744" priority="13" stopIfTrue="1">
      <formula>IF(LEFT($A$7,2)="02",1,0)</formula>
    </cfRule>
    <cfRule type="expression" dxfId="743" priority="14" stopIfTrue="1">
      <formula>IF(LEFT($A$7,2)="03",1,0)</formula>
    </cfRule>
    <cfRule type="expression" dxfId="742" priority="15" stopIfTrue="1">
      <formula>IF(LEFT($A$7,2)="04",1,0)</formula>
    </cfRule>
  </conditionalFormatting>
  <conditionalFormatting sqref="D4:S4">
    <cfRule type="expression" dxfId="741" priority="11">
      <formula>IF(LEFT($A$7,2)="04",1,0)</formula>
    </cfRule>
    <cfRule type="expression" dxfId="740" priority="7">
      <formula>IF(LEFT($A$7,2)="01",1,0)</formula>
    </cfRule>
    <cfRule type="expression" dxfId="739" priority="9">
      <formula>IF(LEFT($A$7,2)="02",1,0)</formula>
    </cfRule>
    <cfRule type="expression" dxfId="738" priority="10">
      <formula>IF(LEFT($A$7,2)="03",1,0)</formula>
    </cfRule>
    <cfRule type="expression" dxfId="737" priority="12">
      <formula>IF(LEFT($A$7,2)="05",1,0)</formula>
    </cfRule>
  </conditionalFormatting>
  <conditionalFormatting sqref="D54:S54">
    <cfRule type="expression" dxfId="736" priority="314">
      <formula>IF(LEFT($A$7,2)="03",1,0)</formula>
    </cfRule>
    <cfRule type="expression" dxfId="735" priority="315">
      <formula>IF(LEFT($A$7,2)="04",1,0)</formula>
    </cfRule>
    <cfRule type="expression" dxfId="734" priority="316">
      <formula>IF(LEFT($A$7,2)="05",1,0)</formula>
    </cfRule>
    <cfRule type="expression" dxfId="733" priority="312">
      <formula>IF(LEFT($A$7,2)="01",1,0)</formula>
    </cfRule>
    <cfRule type="expression" dxfId="732" priority="313">
      <formula>IF(LEFT($A$7,2)="02",1,0)</formula>
    </cfRule>
  </conditionalFormatting>
  <conditionalFormatting sqref="D104:S104">
    <cfRule type="expression" dxfId="731" priority="224">
      <formula>IF(LEFT($A$7,2)="03",1,0)</formula>
    </cfRule>
    <cfRule type="expression" dxfId="730" priority="223">
      <formula>IF(LEFT($A$7,2)="02",1,0)</formula>
    </cfRule>
    <cfRule type="expression" dxfId="729" priority="222">
      <formula>IF(LEFT($A$7,2)="01",1,0)</formula>
    </cfRule>
    <cfRule type="expression" dxfId="728" priority="226">
      <formula>IF(LEFT($A$7,2)="05",1,0)</formula>
    </cfRule>
    <cfRule type="expression" dxfId="727" priority="225">
      <formula>IF(LEFT($A$7,2)="04",1,0)</formula>
    </cfRule>
  </conditionalFormatting>
  <conditionalFormatting sqref="D154:S154">
    <cfRule type="expression" dxfId="726" priority="220">
      <formula>IF(LEFT($A$7,2)="04",1,0)</formula>
    </cfRule>
    <cfRule type="expression" dxfId="725" priority="219">
      <formula>IF(LEFT($A$7,2)="03",1,0)</formula>
    </cfRule>
    <cfRule type="expression" dxfId="724" priority="218">
      <formula>IF(LEFT($A$7,2)="02",1,0)</formula>
    </cfRule>
    <cfRule type="expression" dxfId="723" priority="217">
      <formula>IF(LEFT($A$7,2)="01",1,0)</formula>
    </cfRule>
    <cfRule type="expression" dxfId="722" priority="221">
      <formula>IF(LEFT($A$7,2)="05",1,0)</formula>
    </cfRule>
  </conditionalFormatting>
  <conditionalFormatting sqref="D204:S204">
    <cfRule type="expression" dxfId="721" priority="212">
      <formula>IF(LEFT($A$7,2)="01",1,0)</formula>
    </cfRule>
    <cfRule type="expression" dxfId="720" priority="216">
      <formula>IF(LEFT($A$7,2)="05",1,0)</formula>
    </cfRule>
    <cfRule type="expression" dxfId="719" priority="215">
      <formula>IF(LEFT($A$7,2)="04",1,0)</formula>
    </cfRule>
    <cfRule type="expression" dxfId="718" priority="214">
      <formula>IF(LEFT($A$7,2)="03",1,0)</formula>
    </cfRule>
    <cfRule type="expression" dxfId="717" priority="213">
      <formula>IF(LEFT($A$7,2)="02",1,0)</formula>
    </cfRule>
  </conditionalFormatting>
  <conditionalFormatting sqref="D254:S254">
    <cfRule type="expression" dxfId="716" priority="211">
      <formula>IF(LEFT($A$7,2)="05",1,0)</formula>
    </cfRule>
    <cfRule type="expression" dxfId="715" priority="207">
      <formula>IF(LEFT($A$7,2)="01",1,0)</formula>
    </cfRule>
    <cfRule type="expression" dxfId="714" priority="208">
      <formula>IF(LEFT($A$7,2)="02",1,0)</formula>
    </cfRule>
    <cfRule type="expression" dxfId="713" priority="209">
      <formula>IF(LEFT($A$7,2)="03",1,0)</formula>
    </cfRule>
    <cfRule type="expression" dxfId="712" priority="210">
      <formula>IF(LEFT($A$7,2)="04",1,0)</formula>
    </cfRule>
  </conditionalFormatting>
  <conditionalFormatting sqref="D304:S304">
    <cfRule type="expression" dxfId="711" priority="206">
      <formula>IF(LEFT($A$7,2)="05",1,0)</formula>
    </cfRule>
    <cfRule type="expression" dxfId="710" priority="205">
      <formula>IF(LEFT($A$7,2)="04",1,0)</formula>
    </cfRule>
    <cfRule type="expression" dxfId="709" priority="203">
      <formula>IF(LEFT($A$7,2)="02",1,0)</formula>
    </cfRule>
    <cfRule type="expression" dxfId="708" priority="202">
      <formula>IF(LEFT($A$7,2)="01",1,0)</formula>
    </cfRule>
    <cfRule type="expression" dxfId="707" priority="204">
      <formula>IF(LEFT($A$7,2)="03",1,0)</formula>
    </cfRule>
  </conditionalFormatting>
  <conditionalFormatting sqref="D354:S354">
    <cfRule type="expression" dxfId="706" priority="201">
      <formula>IF(LEFT($A$7,2)="05",1,0)</formula>
    </cfRule>
    <cfRule type="expression" dxfId="705" priority="200">
      <formula>IF(LEFT($A$7,2)="04",1,0)</formula>
    </cfRule>
    <cfRule type="expression" dxfId="704" priority="199">
      <formula>IF(LEFT($A$7,2)="03",1,0)</formula>
    </cfRule>
    <cfRule type="expression" dxfId="703" priority="198">
      <formula>IF(LEFT($A$7,2)="02",1,0)</formula>
    </cfRule>
    <cfRule type="expression" dxfId="702" priority="197">
      <formula>IF(LEFT($A$7,2)="01",1,0)</formula>
    </cfRule>
  </conditionalFormatting>
  <conditionalFormatting sqref="D404:S404">
    <cfRule type="expression" dxfId="701" priority="193">
      <formula>IF(LEFT($A$7,2)="02",1,0)</formula>
    </cfRule>
    <cfRule type="expression" dxfId="700" priority="192">
      <formula>IF(LEFT($A$7,2)="01",1,0)</formula>
    </cfRule>
    <cfRule type="expression" dxfId="699" priority="195">
      <formula>IF(LEFT($A$7,2)="04",1,0)</formula>
    </cfRule>
    <cfRule type="expression" dxfId="698" priority="196">
      <formula>IF(LEFT($A$7,2)="05",1,0)</formula>
    </cfRule>
    <cfRule type="expression" dxfId="697" priority="194">
      <formula>IF(LEFT($A$7,2)="03",1,0)</formula>
    </cfRule>
  </conditionalFormatting>
  <conditionalFormatting sqref="D454:S454">
    <cfRule type="expression" dxfId="696" priority="191">
      <formula>IF(LEFT($A$7,2)="05",1,0)</formula>
    </cfRule>
    <cfRule type="expression" dxfId="695" priority="190">
      <formula>IF(LEFT($A$7,2)="04",1,0)</formula>
    </cfRule>
    <cfRule type="expression" dxfId="694" priority="189">
      <formula>IF(LEFT($A$7,2)="03",1,0)</formula>
    </cfRule>
    <cfRule type="expression" dxfId="693" priority="188">
      <formula>IF(LEFT($A$7,2)="02",1,0)</formula>
    </cfRule>
    <cfRule type="expression" dxfId="692" priority="187">
      <formula>IF(LEFT($A$7,2)="01",1,0)</formula>
    </cfRule>
  </conditionalFormatting>
  <conditionalFormatting sqref="D504:S504">
    <cfRule type="expression" dxfId="691" priority="186">
      <formula>IF(LEFT($A$7,2)="05",1,0)</formula>
    </cfRule>
    <cfRule type="expression" dxfId="690" priority="182">
      <formula>IF(LEFT($A$7,2)="01",1,0)</formula>
    </cfRule>
    <cfRule type="expression" dxfId="689" priority="185">
      <formula>IF(LEFT($A$7,2)="04",1,0)</formula>
    </cfRule>
    <cfRule type="expression" dxfId="688" priority="184">
      <formula>IF(LEFT($A$7,2)="03",1,0)</formula>
    </cfRule>
    <cfRule type="expression" dxfId="687" priority="183">
      <formula>IF(LEFT($A$7,2)="02",1,0)</formula>
    </cfRule>
  </conditionalFormatting>
  <conditionalFormatting sqref="D554:S554">
    <cfRule type="expression" dxfId="686" priority="181">
      <formula>IF(LEFT($A$7,2)="05",1,0)</formula>
    </cfRule>
    <cfRule type="expression" dxfId="685" priority="177">
      <formula>IF(LEFT($A$7,2)="01",1,0)</formula>
    </cfRule>
    <cfRule type="expression" dxfId="684" priority="178">
      <formula>IF(LEFT($A$7,2)="02",1,0)</formula>
    </cfRule>
    <cfRule type="expression" dxfId="683" priority="179">
      <formula>IF(LEFT($A$7,2)="03",1,0)</formula>
    </cfRule>
    <cfRule type="expression" dxfId="682" priority="180">
      <formula>IF(LEFT($A$7,2)="04",1,0)</formula>
    </cfRule>
  </conditionalFormatting>
  <conditionalFormatting sqref="D604:S604">
    <cfRule type="expression" dxfId="681" priority="173">
      <formula>IF(LEFT($A$7,2)="02",1,0)</formula>
    </cfRule>
    <cfRule type="expression" dxfId="680" priority="175">
      <formula>IF(LEFT($A$7,2)="04",1,0)</formula>
    </cfRule>
    <cfRule type="expression" dxfId="679" priority="176">
      <formula>IF(LEFT($A$7,2)="05",1,0)</formula>
    </cfRule>
    <cfRule type="expression" dxfId="678" priority="174">
      <formula>IF(LEFT($A$7,2)="03",1,0)</formula>
    </cfRule>
    <cfRule type="expression" dxfId="677" priority="172">
      <formula>IF(LEFT($A$7,2)="01",1,0)</formula>
    </cfRule>
  </conditionalFormatting>
  <conditionalFormatting sqref="D654:S654">
    <cfRule type="expression" dxfId="676" priority="171">
      <formula>IF(LEFT($A$7,2)="05",1,0)</formula>
    </cfRule>
    <cfRule type="expression" dxfId="675" priority="170">
      <formula>IF(LEFT($A$7,2)="04",1,0)</formula>
    </cfRule>
    <cfRule type="expression" dxfId="674" priority="169">
      <formula>IF(LEFT($A$7,2)="03",1,0)</formula>
    </cfRule>
    <cfRule type="expression" dxfId="673" priority="168">
      <formula>IF(LEFT($A$7,2)="02",1,0)</formula>
    </cfRule>
    <cfRule type="expression" dxfId="672" priority="167">
      <formula>IF(LEFT($A$7,2)="01",1,0)</formula>
    </cfRule>
  </conditionalFormatting>
  <conditionalFormatting sqref="D704:S704">
    <cfRule type="expression" dxfId="671" priority="163">
      <formula>IF(LEFT($A$7,2)="02",1,0)</formula>
    </cfRule>
    <cfRule type="expression" dxfId="670" priority="162">
      <formula>IF(LEFT($A$7,2)="01",1,0)</formula>
    </cfRule>
    <cfRule type="expression" dxfId="669" priority="166">
      <formula>IF(LEFT($A$7,2)="05",1,0)</formula>
    </cfRule>
    <cfRule type="expression" dxfId="668" priority="165">
      <formula>IF(LEFT($A$7,2)="04",1,0)</formula>
    </cfRule>
    <cfRule type="expression" dxfId="667" priority="164">
      <formula>IF(LEFT($A$7,2)="03",1,0)</formula>
    </cfRule>
  </conditionalFormatting>
  <conditionalFormatting sqref="D754:S754">
    <cfRule type="expression" dxfId="666" priority="161">
      <formula>IF(LEFT($A$7,2)="05",1,0)</formula>
    </cfRule>
    <cfRule type="expression" dxfId="665" priority="160">
      <formula>IF(LEFT($A$7,2)="04",1,0)</formula>
    </cfRule>
    <cfRule type="expression" dxfId="664" priority="159">
      <formula>IF(LEFT($A$7,2)="03",1,0)</formula>
    </cfRule>
    <cfRule type="expression" dxfId="663" priority="158">
      <formula>IF(LEFT($A$7,2)="02",1,0)</formula>
    </cfRule>
    <cfRule type="expression" dxfId="662" priority="157">
      <formula>IF(LEFT($A$7,2)="01",1,0)</formula>
    </cfRule>
  </conditionalFormatting>
  <conditionalFormatting sqref="G8">
    <cfRule type="cellIs" dxfId="661" priority="34" operator="equal">
      <formula>5</formula>
    </cfRule>
    <cfRule type="cellIs" dxfId="660" priority="35" operator="equal">
      <formula>6</formula>
    </cfRule>
    <cfRule type="cellIs" dxfId="659" priority="36" operator="equal">
      <formula>7</formula>
    </cfRule>
    <cfRule type="cellIs" dxfId="658" priority="38" operator="equal">
      <formula>"x"</formula>
    </cfRule>
    <cfRule type="cellIs" dxfId="657" priority="39" operator="equal">
      <formula>1</formula>
    </cfRule>
    <cfRule type="cellIs" dxfId="656" priority="40" operator="equal">
      <formula>2</formula>
    </cfRule>
    <cfRule type="cellIs" dxfId="655" priority="42" operator="equal">
      <formula>4</formula>
    </cfRule>
    <cfRule type="cellIs" dxfId="654" priority="43" operator="equal">
      <formula>5</formula>
    </cfRule>
    <cfRule type="cellIs" dxfId="653" priority="44" operator="equal">
      <formula>6</formula>
    </cfRule>
    <cfRule type="cellIs" dxfId="652" priority="41" operator="equal">
      <formula>3</formula>
    </cfRule>
    <cfRule type="cellIs" dxfId="651" priority="31" operator="equal">
      <formula>2</formula>
    </cfRule>
    <cfRule type="cellIs" dxfId="650" priority="32" operator="equal">
      <formula>3</formula>
    </cfRule>
    <cfRule type="cellIs" dxfId="649" priority="33" operator="equal">
      <formula>4</formula>
    </cfRule>
  </conditionalFormatting>
  <conditionalFormatting sqref="G10 G12">
    <cfRule type="cellIs" dxfId="648" priority="156" operator="equal">
      <formula>6</formula>
    </cfRule>
    <cfRule type="cellIs" dxfId="647" priority="153" operator="equal">
      <formula>3</formula>
    </cfRule>
    <cfRule type="cellIs" dxfId="646" priority="152" operator="equal">
      <formula>2</formula>
    </cfRule>
    <cfRule type="cellIs" dxfId="645" priority="151" operator="equal">
      <formula>1</formula>
    </cfRule>
    <cfRule type="cellIs" dxfId="644" priority="150" operator="equal">
      <formula>"x"</formula>
    </cfRule>
    <cfRule type="cellIs" dxfId="643" priority="148" operator="equal">
      <formula>7</formula>
    </cfRule>
    <cfRule type="cellIs" dxfId="642" priority="155" operator="equal">
      <formula>5</formula>
    </cfRule>
    <cfRule type="cellIs" dxfId="641" priority="147" operator="equal">
      <formula>6</formula>
    </cfRule>
    <cfRule type="cellIs" dxfId="640" priority="146" operator="equal">
      <formula>5</formula>
    </cfRule>
    <cfRule type="cellIs" dxfId="639" priority="145" operator="equal">
      <formula>4</formula>
    </cfRule>
    <cfRule type="cellIs" dxfId="638" priority="144" operator="equal">
      <formula>3</formula>
    </cfRule>
    <cfRule type="cellIs" dxfId="637" priority="143" operator="equal">
      <formula>2</formula>
    </cfRule>
    <cfRule type="cellIs" dxfId="636" priority="154" operator="equal">
      <formula>4</formula>
    </cfRule>
  </conditionalFormatting>
  <conditionalFormatting sqref="G14">
    <cfRule type="cellIs" dxfId="635" priority="131" operator="equal">
      <formula>4</formula>
    </cfRule>
    <cfRule type="cellIs" dxfId="634" priority="132" operator="equal">
      <formula>5</formula>
    </cfRule>
    <cfRule type="cellIs" dxfId="633" priority="133" operator="equal">
      <formula>6</formula>
    </cfRule>
    <cfRule type="cellIs" dxfId="632" priority="134" operator="equal">
      <formula>7</formula>
    </cfRule>
    <cfRule type="cellIs" dxfId="631" priority="136" operator="equal">
      <formula>"x"</formula>
    </cfRule>
    <cfRule type="cellIs" dxfId="630" priority="137" operator="equal">
      <formula>1</formula>
    </cfRule>
    <cfRule type="cellIs" dxfId="629" priority="129" operator="equal">
      <formula>2</formula>
    </cfRule>
    <cfRule type="cellIs" dxfId="628" priority="139" operator="equal">
      <formula>3</formula>
    </cfRule>
    <cfRule type="cellIs" dxfId="627" priority="140" operator="equal">
      <formula>4</formula>
    </cfRule>
    <cfRule type="cellIs" dxfId="626" priority="141" operator="equal">
      <formula>5</formula>
    </cfRule>
    <cfRule type="cellIs" dxfId="625" priority="142" operator="equal">
      <formula>6</formula>
    </cfRule>
    <cfRule type="cellIs" dxfId="624" priority="138" operator="equal">
      <formula>2</formula>
    </cfRule>
    <cfRule type="cellIs" dxfId="623" priority="130" operator="equal">
      <formula>3</formula>
    </cfRule>
  </conditionalFormatting>
  <conditionalFormatting sqref="G16">
    <cfRule type="cellIs" dxfId="622" priority="120" operator="equal">
      <formula>7</formula>
    </cfRule>
    <cfRule type="cellIs" dxfId="621" priority="126" operator="equal">
      <formula>4</formula>
    </cfRule>
    <cfRule type="cellIs" dxfId="620" priority="128" operator="equal">
      <formula>6</formula>
    </cfRule>
    <cfRule type="cellIs" dxfId="619" priority="125" operator="equal">
      <formula>3</formula>
    </cfRule>
    <cfRule type="cellIs" dxfId="618" priority="123" operator="equal">
      <formula>1</formula>
    </cfRule>
    <cfRule type="cellIs" dxfId="617" priority="122" operator="equal">
      <formula>"x"</formula>
    </cfRule>
    <cfRule type="cellIs" dxfId="616" priority="117" operator="equal">
      <formula>4</formula>
    </cfRule>
    <cfRule type="cellIs" dxfId="615" priority="119" operator="equal">
      <formula>6</formula>
    </cfRule>
    <cfRule type="cellIs" dxfId="614" priority="118" operator="equal">
      <formula>5</formula>
    </cfRule>
    <cfRule type="cellIs" dxfId="613" priority="124" operator="equal">
      <formula>2</formula>
    </cfRule>
    <cfRule type="cellIs" dxfId="612" priority="115" operator="equal">
      <formula>2</formula>
    </cfRule>
    <cfRule type="cellIs" dxfId="611" priority="116" operator="equal">
      <formula>3</formula>
    </cfRule>
    <cfRule type="cellIs" dxfId="610" priority="127" operator="equal">
      <formula>5</formula>
    </cfRule>
  </conditionalFormatting>
  <conditionalFormatting sqref="G18">
    <cfRule type="cellIs" dxfId="609" priority="104" operator="equal">
      <formula>5</formula>
    </cfRule>
    <cfRule type="cellIs" dxfId="608" priority="105" operator="equal">
      <formula>6</formula>
    </cfRule>
    <cfRule type="cellIs" dxfId="607" priority="106" operator="equal">
      <formula>7</formula>
    </cfRule>
    <cfRule type="cellIs" dxfId="606" priority="108" operator="equal">
      <formula>"x"</formula>
    </cfRule>
    <cfRule type="cellIs" dxfId="605" priority="109" operator="equal">
      <formula>1</formula>
    </cfRule>
    <cfRule type="cellIs" dxfId="604" priority="110" operator="equal">
      <formula>2</formula>
    </cfRule>
    <cfRule type="cellIs" dxfId="603" priority="111" operator="equal">
      <formula>3</formula>
    </cfRule>
    <cfRule type="cellIs" dxfId="602" priority="113" operator="equal">
      <formula>5</formula>
    </cfRule>
    <cfRule type="cellIs" dxfId="601" priority="114" operator="equal">
      <formula>6</formula>
    </cfRule>
    <cfRule type="cellIs" dxfId="600" priority="112" operator="equal">
      <formula>4</formula>
    </cfRule>
    <cfRule type="cellIs" dxfId="599" priority="103" operator="equal">
      <formula>4</formula>
    </cfRule>
    <cfRule type="cellIs" dxfId="598" priority="101" operator="equal">
      <formula>2</formula>
    </cfRule>
    <cfRule type="cellIs" dxfId="597" priority="102" operator="equal">
      <formula>3</formula>
    </cfRule>
  </conditionalFormatting>
  <conditionalFormatting sqref="G20">
    <cfRule type="cellIs" dxfId="596" priority="87" operator="equal">
      <formula>2</formula>
    </cfRule>
    <cfRule type="cellIs" dxfId="595" priority="88" operator="equal">
      <formula>3</formula>
    </cfRule>
    <cfRule type="cellIs" dxfId="594" priority="89" operator="equal">
      <formula>4</formula>
    </cfRule>
    <cfRule type="cellIs" dxfId="593" priority="90" operator="equal">
      <formula>5</formula>
    </cfRule>
    <cfRule type="cellIs" dxfId="592" priority="91" operator="equal">
      <formula>6</formula>
    </cfRule>
    <cfRule type="cellIs" dxfId="591" priority="92" operator="equal">
      <formula>7</formula>
    </cfRule>
    <cfRule type="cellIs" dxfId="590" priority="94" operator="equal">
      <formula>"x"</formula>
    </cfRule>
    <cfRule type="cellIs" dxfId="589" priority="96" operator="equal">
      <formula>2</formula>
    </cfRule>
    <cfRule type="cellIs" dxfId="588" priority="97" operator="equal">
      <formula>3</formula>
    </cfRule>
    <cfRule type="cellIs" dxfId="587" priority="98" operator="equal">
      <formula>4</formula>
    </cfRule>
    <cfRule type="cellIs" dxfId="586" priority="99" operator="equal">
      <formula>5</formula>
    </cfRule>
    <cfRule type="cellIs" dxfId="585" priority="100" operator="equal">
      <formula>6</formula>
    </cfRule>
    <cfRule type="cellIs" dxfId="584" priority="95" operator="equal">
      <formula>1</formula>
    </cfRule>
  </conditionalFormatting>
  <conditionalFormatting sqref="G22 G24 G26 G28 G30 G32 G34 G36">
    <cfRule type="cellIs" dxfId="583" priority="80" operator="equal">
      <formula>"x"</formula>
    </cfRule>
    <cfRule type="cellIs" dxfId="582" priority="81" operator="equal">
      <formula>1</formula>
    </cfRule>
    <cfRule type="cellIs" dxfId="581" priority="83" operator="equal">
      <formula>3</formula>
    </cfRule>
    <cfRule type="cellIs" dxfId="580" priority="84" operator="equal">
      <formula>4</formula>
    </cfRule>
    <cfRule type="cellIs" dxfId="579" priority="85" operator="equal">
      <formula>5</formula>
    </cfRule>
    <cfRule type="cellIs" dxfId="578" priority="86" operator="equal">
      <formula>6</formula>
    </cfRule>
    <cfRule type="cellIs" dxfId="577" priority="82" operator="equal">
      <formula>2</formula>
    </cfRule>
    <cfRule type="cellIs" dxfId="576" priority="73" operator="equal">
      <formula>2</formula>
    </cfRule>
    <cfRule type="cellIs" dxfId="575" priority="74" operator="equal">
      <formula>3</formula>
    </cfRule>
    <cfRule type="cellIs" dxfId="574" priority="75" operator="equal">
      <formula>4</formula>
    </cfRule>
    <cfRule type="cellIs" dxfId="573" priority="76" operator="equal">
      <formula>5</formula>
    </cfRule>
    <cfRule type="cellIs" dxfId="572" priority="77" operator="equal">
      <formula>6</formula>
    </cfRule>
    <cfRule type="cellIs" dxfId="571" priority="78" operator="equal">
      <formula>7</formula>
    </cfRule>
  </conditionalFormatting>
  <conditionalFormatting sqref="G38">
    <cfRule type="cellIs" dxfId="570" priority="67" operator="equal">
      <formula>1</formula>
    </cfRule>
    <cfRule type="cellIs" dxfId="569" priority="72" operator="equal">
      <formula>6</formula>
    </cfRule>
    <cfRule type="cellIs" dxfId="568" priority="71" operator="equal">
      <formula>5</formula>
    </cfRule>
    <cfRule type="cellIs" dxfId="567" priority="70" operator="equal">
      <formula>4</formula>
    </cfRule>
    <cfRule type="cellIs" dxfId="566" priority="69" operator="equal">
      <formula>3</formula>
    </cfRule>
    <cfRule type="cellIs" dxfId="565" priority="61" operator="equal">
      <formula>4</formula>
    </cfRule>
    <cfRule type="cellIs" dxfId="564" priority="68" operator="equal">
      <formula>2</formula>
    </cfRule>
    <cfRule type="cellIs" dxfId="563" priority="60" operator="equal">
      <formula>3</formula>
    </cfRule>
    <cfRule type="cellIs" dxfId="562" priority="66" operator="equal">
      <formula>"x"</formula>
    </cfRule>
    <cfRule type="cellIs" dxfId="561" priority="64" operator="equal">
      <formula>7</formula>
    </cfRule>
    <cfRule type="cellIs" dxfId="560" priority="63" operator="equal">
      <formula>6</formula>
    </cfRule>
    <cfRule type="cellIs" dxfId="559" priority="62" operator="equal">
      <formula>5</formula>
    </cfRule>
    <cfRule type="cellIs" dxfId="558" priority="59" operator="equal">
      <formula>2</formula>
    </cfRule>
  </conditionalFormatting>
  <conditionalFormatting sqref="G8:H8 G10:H10 G12:H12 G14:H14 G16:H16 G18:H18 G20:H20 G22:H22 G24:H24 G26:H26 G28:H28 G30:H30 G32:H32 G34:H34 G36:H36 G38:H38">
    <cfRule type="cellIs" dxfId="557" priority="2" operator="equal">
      <formula>1</formula>
    </cfRule>
  </conditionalFormatting>
  <conditionalFormatting sqref="H8 H10 H12 H14 H16 H18 H20 H22 H24 H26 H28 H30 H32 H34 H36 H38">
    <cfRule type="cellIs" dxfId="556" priority="4" operator="equal">
      <formula>3</formula>
    </cfRule>
    <cfRule type="cellIs" dxfId="555" priority="3" operator="equal">
      <formula>2</formula>
    </cfRule>
    <cfRule type="cellIs" dxfId="554" priority="1" operator="equal">
      <formula>0</formula>
    </cfRule>
    <cfRule type="cellIs" dxfId="553" priority="6" operator="equal">
      <formula>5</formula>
    </cfRule>
    <cfRule type="cellIs" dxfId="552" priority="5" operator="equal">
      <formula>4</formula>
    </cfRule>
  </conditionalFormatting>
  <conditionalFormatting sqref="H60:S75">
    <cfRule type="cellIs" dxfId="551" priority="319" operator="equal">
      <formula>3</formula>
    </cfRule>
    <cfRule type="cellIs" dxfId="550" priority="318" operator="equal">
      <formula>2</formula>
    </cfRule>
    <cfRule type="cellIs" dxfId="549" priority="317" operator="equal">
      <formula>1</formula>
    </cfRule>
    <cfRule type="cellIs" dxfId="548" priority="311" operator="equal">
      <formula>0</formula>
    </cfRule>
    <cfRule type="cellIs" dxfId="547" priority="320" operator="equal">
      <formula>4</formula>
    </cfRule>
    <cfRule type="cellIs" dxfId="546" priority="321" operator="equal">
      <formula>5</formula>
    </cfRule>
  </conditionalFormatting>
  <conditionalFormatting sqref="H110:S125">
    <cfRule type="cellIs" dxfId="545" priority="309" operator="equal">
      <formula>4</formula>
    </cfRule>
    <cfRule type="cellIs" dxfId="544" priority="310" operator="equal">
      <formula>5</formula>
    </cfRule>
    <cfRule type="cellIs" dxfId="543" priority="306" operator="equal">
      <formula>1</formula>
    </cfRule>
    <cfRule type="cellIs" dxfId="542" priority="305" operator="equal">
      <formula>0</formula>
    </cfRule>
    <cfRule type="cellIs" dxfId="541" priority="307" operator="equal">
      <formula>2</formula>
    </cfRule>
    <cfRule type="cellIs" dxfId="540" priority="308" operator="equal">
      <formula>3</formula>
    </cfRule>
  </conditionalFormatting>
  <conditionalFormatting sqref="H160:S175">
    <cfRule type="cellIs" dxfId="539" priority="301" operator="equal">
      <formula>2</formula>
    </cfRule>
    <cfRule type="cellIs" dxfId="538" priority="300" operator="equal">
      <formula>1</formula>
    </cfRule>
    <cfRule type="cellIs" dxfId="537" priority="299" operator="equal">
      <formula>0</formula>
    </cfRule>
    <cfRule type="cellIs" dxfId="536" priority="304" operator="equal">
      <formula>5</formula>
    </cfRule>
    <cfRule type="cellIs" dxfId="535" priority="303" operator="equal">
      <formula>4</formula>
    </cfRule>
    <cfRule type="cellIs" dxfId="534" priority="302" operator="equal">
      <formula>3</formula>
    </cfRule>
  </conditionalFormatting>
  <conditionalFormatting sqref="H210:S225">
    <cfRule type="cellIs" dxfId="533" priority="298" operator="equal">
      <formula>5</formula>
    </cfRule>
    <cfRule type="cellIs" dxfId="532" priority="297" operator="equal">
      <formula>4</formula>
    </cfRule>
    <cfRule type="cellIs" dxfId="531" priority="296" operator="equal">
      <formula>3</formula>
    </cfRule>
    <cfRule type="cellIs" dxfId="530" priority="295" operator="equal">
      <formula>2</formula>
    </cfRule>
    <cfRule type="cellIs" dxfId="529" priority="294" operator="equal">
      <formula>1</formula>
    </cfRule>
    <cfRule type="cellIs" dxfId="528" priority="293" operator="equal">
      <formula>0</formula>
    </cfRule>
  </conditionalFormatting>
  <conditionalFormatting sqref="H260:S275">
    <cfRule type="cellIs" dxfId="527" priority="292" operator="equal">
      <formula>5</formula>
    </cfRule>
    <cfRule type="cellIs" dxfId="526" priority="291" operator="equal">
      <formula>4</formula>
    </cfRule>
    <cfRule type="cellIs" dxfId="525" priority="290" operator="equal">
      <formula>3</formula>
    </cfRule>
    <cfRule type="cellIs" dxfId="524" priority="289" operator="equal">
      <formula>2</formula>
    </cfRule>
    <cfRule type="cellIs" dxfId="523" priority="288" operator="equal">
      <formula>1</formula>
    </cfRule>
    <cfRule type="cellIs" dxfId="522" priority="287" operator="equal">
      <formula>0</formula>
    </cfRule>
  </conditionalFormatting>
  <conditionalFormatting sqref="H310:S325">
    <cfRule type="cellIs" dxfId="521" priority="283" operator="equal">
      <formula>2</formula>
    </cfRule>
    <cfRule type="cellIs" dxfId="520" priority="282" operator="equal">
      <formula>1</formula>
    </cfRule>
    <cfRule type="cellIs" dxfId="519" priority="285" operator="equal">
      <formula>4</formula>
    </cfRule>
    <cfRule type="cellIs" dxfId="518" priority="284" operator="equal">
      <formula>3</formula>
    </cfRule>
    <cfRule type="cellIs" dxfId="517" priority="281" operator="equal">
      <formula>0</formula>
    </cfRule>
    <cfRule type="cellIs" dxfId="516" priority="286" operator="equal">
      <formula>5</formula>
    </cfRule>
  </conditionalFormatting>
  <conditionalFormatting sqref="H360:S375">
    <cfRule type="cellIs" dxfId="515" priority="278" operator="equal">
      <formula>3</formula>
    </cfRule>
    <cfRule type="cellIs" dxfId="514" priority="280" operator="equal">
      <formula>5</formula>
    </cfRule>
    <cfRule type="cellIs" dxfId="513" priority="279" operator="equal">
      <formula>4</formula>
    </cfRule>
    <cfRule type="cellIs" dxfId="512" priority="277" operator="equal">
      <formula>2</formula>
    </cfRule>
    <cfRule type="cellIs" dxfId="511" priority="276" operator="equal">
      <formula>1</formula>
    </cfRule>
    <cfRule type="cellIs" dxfId="510" priority="275" operator="equal">
      <formula>0</formula>
    </cfRule>
  </conditionalFormatting>
  <conditionalFormatting sqref="H410:S425">
    <cfRule type="cellIs" dxfId="509" priority="269" operator="equal">
      <formula>0</formula>
    </cfRule>
    <cfRule type="cellIs" dxfId="508" priority="270" operator="equal">
      <formula>1</formula>
    </cfRule>
    <cfRule type="cellIs" dxfId="507" priority="271" operator="equal">
      <formula>2</formula>
    </cfRule>
    <cfRule type="cellIs" dxfId="506" priority="272" operator="equal">
      <formula>3</formula>
    </cfRule>
    <cfRule type="cellIs" dxfId="505" priority="273" operator="equal">
      <formula>4</formula>
    </cfRule>
    <cfRule type="cellIs" dxfId="504" priority="274" operator="equal">
      <formula>5</formula>
    </cfRule>
  </conditionalFormatting>
  <conditionalFormatting sqref="H460:S475">
    <cfRule type="cellIs" dxfId="503" priority="265" operator="equal">
      <formula>2</formula>
    </cfRule>
    <cfRule type="cellIs" dxfId="502" priority="264" operator="equal">
      <formula>1</formula>
    </cfRule>
    <cfRule type="cellIs" dxfId="501" priority="266" operator="equal">
      <formula>3</formula>
    </cfRule>
    <cfRule type="cellIs" dxfId="500" priority="267" operator="equal">
      <formula>4</formula>
    </cfRule>
    <cfRule type="cellIs" dxfId="499" priority="263" operator="equal">
      <formula>0</formula>
    </cfRule>
    <cfRule type="cellIs" dxfId="498" priority="268" operator="equal">
      <formula>5</formula>
    </cfRule>
  </conditionalFormatting>
  <conditionalFormatting sqref="H510:S525">
    <cfRule type="cellIs" dxfId="497" priority="261" operator="equal">
      <formula>4</formula>
    </cfRule>
    <cfRule type="cellIs" dxfId="496" priority="260" operator="equal">
      <formula>3</formula>
    </cfRule>
    <cfRule type="cellIs" dxfId="495" priority="259" operator="equal">
      <formula>2</formula>
    </cfRule>
    <cfRule type="cellIs" dxfId="494" priority="258" operator="equal">
      <formula>1</formula>
    </cfRule>
    <cfRule type="cellIs" dxfId="493" priority="257" operator="equal">
      <formula>0</formula>
    </cfRule>
    <cfRule type="cellIs" dxfId="492" priority="262" operator="equal">
      <formula>5</formula>
    </cfRule>
  </conditionalFormatting>
  <conditionalFormatting sqref="H560:S575">
    <cfRule type="cellIs" dxfId="491" priority="252" operator="equal">
      <formula>1</formula>
    </cfRule>
    <cfRule type="cellIs" dxfId="490" priority="253" operator="equal">
      <formula>2</formula>
    </cfRule>
    <cfRule type="cellIs" dxfId="489" priority="254" operator="equal">
      <formula>3</formula>
    </cfRule>
    <cfRule type="cellIs" dxfId="488" priority="255" operator="equal">
      <formula>4</formula>
    </cfRule>
    <cfRule type="cellIs" dxfId="487" priority="256" operator="equal">
      <formula>5</formula>
    </cfRule>
    <cfRule type="cellIs" dxfId="486" priority="251" operator="equal">
      <formula>0</formula>
    </cfRule>
  </conditionalFormatting>
  <conditionalFormatting sqref="H610:S625">
    <cfRule type="cellIs" dxfId="485" priority="250" operator="equal">
      <formula>5</formula>
    </cfRule>
    <cfRule type="cellIs" dxfId="484" priority="245" operator="equal">
      <formula>0</formula>
    </cfRule>
    <cfRule type="cellIs" dxfId="483" priority="246" operator="equal">
      <formula>1</formula>
    </cfRule>
    <cfRule type="cellIs" dxfId="482" priority="247" operator="equal">
      <formula>2</formula>
    </cfRule>
    <cfRule type="cellIs" dxfId="481" priority="248" operator="equal">
      <formula>3</formula>
    </cfRule>
    <cfRule type="cellIs" dxfId="480" priority="249" operator="equal">
      <formula>4</formula>
    </cfRule>
  </conditionalFormatting>
  <conditionalFormatting sqref="H660:S675">
    <cfRule type="cellIs" dxfId="479" priority="242" operator="equal">
      <formula>3</formula>
    </cfRule>
    <cfRule type="cellIs" dxfId="478" priority="244" operator="equal">
      <formula>5</formula>
    </cfRule>
    <cfRule type="cellIs" dxfId="477" priority="243" operator="equal">
      <formula>4</formula>
    </cfRule>
    <cfRule type="cellIs" dxfId="476" priority="239" operator="equal">
      <formula>0</formula>
    </cfRule>
    <cfRule type="cellIs" dxfId="475" priority="240" operator="equal">
      <formula>1</formula>
    </cfRule>
    <cfRule type="cellIs" dxfId="474" priority="241" operator="equal">
      <formula>2</formula>
    </cfRule>
  </conditionalFormatting>
  <conditionalFormatting sqref="H710:S725">
    <cfRule type="cellIs" dxfId="473" priority="236" operator="equal">
      <formula>3</formula>
    </cfRule>
    <cfRule type="cellIs" dxfId="472" priority="235" operator="equal">
      <formula>2</formula>
    </cfRule>
    <cfRule type="cellIs" dxfId="471" priority="234" operator="equal">
      <formula>1</formula>
    </cfRule>
    <cfRule type="cellIs" dxfId="470" priority="233" operator="equal">
      <formula>0</formula>
    </cfRule>
    <cfRule type="cellIs" dxfId="469" priority="237" operator="equal">
      <formula>4</formula>
    </cfRule>
    <cfRule type="cellIs" dxfId="468" priority="238" operator="equal">
      <formula>5</formula>
    </cfRule>
  </conditionalFormatting>
  <conditionalFormatting sqref="H760:S775">
    <cfRule type="cellIs" dxfId="467" priority="232" operator="equal">
      <formula>5</formula>
    </cfRule>
    <cfRule type="cellIs" dxfId="466" priority="231" operator="equal">
      <formula>4</formula>
    </cfRule>
    <cfRule type="cellIs" dxfId="465" priority="229" operator="equal">
      <formula>2</formula>
    </cfRule>
    <cfRule type="cellIs" dxfId="464" priority="228" operator="equal">
      <formula>1</formula>
    </cfRule>
    <cfRule type="cellIs" dxfId="463" priority="227" operator="equal">
      <formula>0</formula>
    </cfRule>
    <cfRule type="cellIs" dxfId="462" priority="230" operator="equal">
      <formula>3</formula>
    </cfRule>
  </conditionalFormatting>
  <conditionalFormatting sqref="J8">
    <cfRule type="cellIs" dxfId="461" priority="17" operator="equal">
      <formula>2</formula>
    </cfRule>
    <cfRule type="cellIs" dxfId="460" priority="18" operator="equal">
      <formula>3</formula>
    </cfRule>
    <cfRule type="cellIs" dxfId="459" priority="22" operator="equal">
      <formula>7</formula>
    </cfRule>
    <cfRule type="cellIs" dxfId="458" priority="30" operator="equal">
      <formula>6</formula>
    </cfRule>
    <cfRule type="cellIs" dxfId="457" priority="29" operator="equal">
      <formula>5</formula>
    </cfRule>
    <cfRule type="cellIs" dxfId="456" priority="28" operator="equal">
      <formula>4</formula>
    </cfRule>
    <cfRule type="cellIs" dxfId="455" priority="26" operator="equal">
      <formula>2</formula>
    </cfRule>
    <cfRule type="cellIs" dxfId="454" priority="25" operator="equal">
      <formula>1</formula>
    </cfRule>
    <cfRule type="cellIs" dxfId="453" priority="24" operator="equal">
      <formula>"x"</formula>
    </cfRule>
    <cfRule type="cellIs" dxfId="452" priority="27" operator="equal">
      <formula>3</formula>
    </cfRule>
    <cfRule type="cellIs" dxfId="451" priority="23" operator="equal">
      <formula>1</formula>
    </cfRule>
    <cfRule type="cellIs" dxfId="450" priority="21" operator="equal">
      <formula>6</formula>
    </cfRule>
    <cfRule type="cellIs" dxfId="449" priority="20" operator="equal">
      <formula>5</formula>
    </cfRule>
    <cfRule type="cellIs" dxfId="448" priority="19" operator="equal">
      <formula>4</formula>
    </cfRule>
  </conditionalFormatting>
  <conditionalFormatting sqref="J10 J12 J14 J16 J18 J20 J22 J24 J26 J28 J30 J32 J34 J36 J38">
    <cfRule type="cellIs" dxfId="447" priority="53" operator="equal">
      <formula>1</formula>
    </cfRule>
    <cfRule type="cellIs" dxfId="446" priority="48" operator="equal">
      <formula>5</formula>
    </cfRule>
    <cfRule type="cellIs" dxfId="445" priority="49" operator="equal">
      <formula>6</formula>
    </cfRule>
    <cfRule type="cellIs" dxfId="444" priority="50" operator="equal">
      <formula>7</formula>
    </cfRule>
    <cfRule type="cellIs" dxfId="443" priority="51" operator="equal">
      <formula>1</formula>
    </cfRule>
    <cfRule type="cellIs" dxfId="442" priority="52" operator="equal">
      <formula>"x"</formula>
    </cfRule>
    <cfRule type="cellIs" dxfId="441" priority="47" operator="equal">
      <formula>4</formula>
    </cfRule>
    <cfRule type="cellIs" dxfId="440" priority="46" operator="equal">
      <formula>3</formula>
    </cfRule>
    <cfRule type="cellIs" dxfId="439" priority="45" operator="equal">
      <formula>2</formula>
    </cfRule>
    <cfRule type="cellIs" dxfId="438" priority="58" operator="equal">
      <formula>6</formula>
    </cfRule>
    <cfRule type="cellIs" dxfId="437" priority="57" operator="equal">
      <formula>5</formula>
    </cfRule>
    <cfRule type="cellIs" dxfId="436" priority="56" operator="equal">
      <formula>4</formula>
    </cfRule>
    <cfRule type="cellIs" dxfId="435" priority="54" operator="equal">
      <formula>2</formula>
    </cfRule>
    <cfRule type="cellIs" dxfId="434" priority="55" operator="equal">
      <formula>3</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1B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B00-000001000000}">
          <x14:formula1>
            <xm:f>LEGENDA!$B$5:$B$10</xm:f>
          </x14:formula1>
          <xm:sqref>H8:I9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42">
    <tabColor rgb="FFFF6165"/>
    <pageSetUpPr fitToPage="1"/>
  </sheetPr>
  <dimension ref="A1:AO790"/>
  <sheetViews>
    <sheetView topLeftCell="B1" zoomScale="80" zoomScaleNormal="80" zoomScalePageLayoutView="80" workbookViewId="0">
      <pane ySplit="2" topLeftCell="A3" activePane="bottomLeft" state="frozen"/>
      <selection activeCell="G311" sqref="G311"/>
      <selection pane="bottomLeft" activeCell="G311" sqref="G311"/>
    </sheetView>
  </sheetViews>
  <sheetFormatPr defaultColWidth="8.54296875" defaultRowHeight="14.5" x14ac:dyDescent="0.35"/>
  <cols>
    <col min="1" max="1" width="14.1796875" style="27" hidden="1" customWidth="1"/>
    <col min="2" max="2" width="28.1796875" style="5" customWidth="1"/>
    <col min="3" max="3" width="7.1796875" style="3" customWidth="1"/>
    <col min="4" max="4" width="35.54296875" style="3" customWidth="1"/>
    <col min="5" max="5" width="10.453125" style="3" customWidth="1"/>
    <col min="6" max="6" width="60.54296875" style="3" customWidth="1"/>
    <col min="7" max="7" width="17.54296875" style="3" customWidth="1"/>
    <col min="8" max="19" width="8.1796875" style="3" customWidth="1"/>
    <col min="20" max="20" width="6" style="3" customWidth="1"/>
    <col min="21" max="21" width="9" style="3" bestFit="1" customWidth="1"/>
    <col min="22" max="22" width="27.453125" style="3" customWidth="1"/>
    <col min="23" max="33" width="6" style="3" bestFit="1" customWidth="1"/>
    <col min="34" max="35" width="8.54296875" style="3"/>
    <col min="36" max="36" width="9" style="3" bestFit="1" customWidth="1"/>
    <col min="37" max="37" width="35.453125" style="3" bestFit="1" customWidth="1"/>
    <col min="38" max="41" width="8.54296875" style="3"/>
    <col min="42" max="42" width="64.1796875" customWidth="1"/>
    <col min="43" max="43" width="6.54296875" bestFit="1" customWidth="1"/>
    <col min="44" max="44" width="65.54296875" bestFit="1" customWidth="1"/>
    <col min="45" max="56" width="6.54296875" bestFit="1" customWidth="1"/>
    <col min="57" max="57" width="9" bestFit="1" customWidth="1"/>
    <col min="58" max="58" width="9" customWidth="1"/>
    <col min="59" max="59" width="10.1796875" bestFit="1" customWidth="1"/>
    <col min="60" max="60" width="35.453125" bestFit="1" customWidth="1"/>
    <col min="61" max="61" width="10" customWidth="1"/>
    <col min="62" max="62" width="10.54296875" customWidth="1"/>
  </cols>
  <sheetData>
    <row r="1" spans="1:22" ht="28" thickBot="1" x14ac:dyDescent="0.6">
      <c r="A1" s="31">
        <v>1</v>
      </c>
      <c r="F1" s="32" t="s">
        <v>0</v>
      </c>
    </row>
    <row r="2" spans="1:22" ht="28" thickBot="1" x14ac:dyDescent="0.6">
      <c r="A2" s="31">
        <v>1</v>
      </c>
      <c r="B2" s="17"/>
      <c r="D2" s="331" t="e">
        <f ca="1">"Hoshin Plan "&amp;#REF!&amp;"   -   Strategic Driver: SD "&amp;LEFT(A7,2)&amp;" "&amp;OFFSET(#REF!,7,A9)</f>
        <v>#REF!</v>
      </c>
      <c r="E2" s="332"/>
      <c r="F2" s="332"/>
      <c r="G2" s="61"/>
      <c r="H2" s="333" t="str">
        <f>"Must-Win-Battle / Strategy:"</f>
        <v>Must-Win-Battle / Strategy:</v>
      </c>
      <c r="I2" s="334"/>
      <c r="J2" s="334"/>
      <c r="K2" s="334"/>
      <c r="L2" s="335" t="e">
        <f ca="1">$A$7&amp;" - "&amp;VLOOKUP($A$7,OFFSET(#REF!,0,A9,50,20),2,FALSE)</f>
        <v>#NAME?</v>
      </c>
      <c r="M2" s="335"/>
      <c r="N2" s="335"/>
      <c r="O2" s="335"/>
      <c r="P2" s="335"/>
      <c r="Q2" s="335"/>
      <c r="R2" s="335"/>
      <c r="S2" s="336"/>
      <c r="U2" s="198"/>
      <c r="V2" s="198"/>
    </row>
    <row r="3" spans="1:22" ht="28" thickBot="1" x14ac:dyDescent="0.6">
      <c r="A3" s="31">
        <v>38</v>
      </c>
      <c r="B3" s="17"/>
      <c r="C3" s="4"/>
      <c r="D3" s="386" t="s">
        <v>1</v>
      </c>
      <c r="E3" s="389"/>
      <c r="F3" s="390" t="s">
        <v>2</v>
      </c>
      <c r="G3" s="389"/>
      <c r="H3" s="390" t="s">
        <v>3</v>
      </c>
      <c r="I3" s="387"/>
      <c r="J3" s="387"/>
      <c r="K3" s="387"/>
      <c r="L3" s="387" t="s">
        <v>4</v>
      </c>
      <c r="M3" s="387"/>
      <c r="N3" s="387"/>
      <c r="O3" s="389"/>
      <c r="P3" s="390" t="s">
        <v>5</v>
      </c>
      <c r="Q3" s="387"/>
      <c r="R3" s="387"/>
      <c r="S3" s="388"/>
      <c r="T3" s="4"/>
      <c r="U3" s="4"/>
      <c r="V3" s="4"/>
    </row>
    <row r="4" spans="1:22" ht="28" thickBot="1" x14ac:dyDescent="0.6">
      <c r="A4" s="31">
        <v>50</v>
      </c>
      <c r="B4" s="17"/>
      <c r="C4" s="5"/>
      <c r="D4" s="378" t="e">
        <f>#REF!</f>
        <v>#REF!</v>
      </c>
      <c r="E4" s="379"/>
      <c r="F4" s="380" t="e">
        <f>#REF!</f>
        <v>#REF!</v>
      </c>
      <c r="G4" s="379"/>
      <c r="H4" s="380" t="e">
        <f ca="1">OFFSET(#REF!,A8+1,A9+1)</f>
        <v>#REF!</v>
      </c>
      <c r="I4" s="381"/>
      <c r="J4" s="381"/>
      <c r="K4" s="379"/>
      <c r="L4" s="382" t="s">
        <v>6</v>
      </c>
      <c r="M4" s="383"/>
      <c r="N4" s="383"/>
      <c r="O4" s="384"/>
      <c r="P4" s="382" t="s">
        <v>6</v>
      </c>
      <c r="Q4" s="383"/>
      <c r="R4" s="383"/>
      <c r="S4" s="385"/>
      <c r="T4" s="5"/>
      <c r="U4" s="5"/>
      <c r="V4" s="5"/>
    </row>
    <row r="5" spans="1:22" ht="28" thickBot="1" x14ac:dyDescent="0.6">
      <c r="A5" s="31">
        <v>8</v>
      </c>
      <c r="B5" s="17"/>
      <c r="C5"/>
      <c r="D5" s="386" t="s">
        <v>7</v>
      </c>
      <c r="E5" s="387"/>
      <c r="F5" s="387"/>
      <c r="G5" s="387"/>
      <c r="H5" s="387"/>
      <c r="I5" s="387"/>
      <c r="J5" s="387"/>
      <c r="K5" s="387"/>
      <c r="L5" s="387"/>
      <c r="M5" s="387"/>
      <c r="N5" s="387"/>
      <c r="O5" s="387"/>
      <c r="P5" s="387"/>
      <c r="Q5" s="387"/>
      <c r="R5" s="387"/>
      <c r="S5" s="388"/>
      <c r="T5" s="5"/>
      <c r="U5" s="5"/>
      <c r="V5" s="5"/>
    </row>
    <row r="6" spans="1:22" ht="28" thickBot="1" x14ac:dyDescent="0.6">
      <c r="A6" s="31">
        <v>4</v>
      </c>
      <c r="B6" s="17"/>
      <c r="C6"/>
      <c r="D6" s="337" t="e">
        <f ca="1">OFFSET(#REF!,9,A9)</f>
        <v>#REF!</v>
      </c>
      <c r="E6" s="338"/>
      <c r="F6" s="338"/>
      <c r="G6" s="338"/>
      <c r="H6" s="338"/>
      <c r="I6" s="338"/>
      <c r="J6" s="338"/>
      <c r="K6" s="338"/>
      <c r="L6" s="338"/>
      <c r="M6" s="338"/>
      <c r="N6" s="338"/>
      <c r="O6" s="338"/>
      <c r="P6" s="338"/>
      <c r="Q6" s="338"/>
      <c r="R6" s="338"/>
      <c r="S6" s="339"/>
      <c r="T6" s="5"/>
      <c r="U6" s="5"/>
      <c r="V6" s="5"/>
    </row>
    <row r="7" spans="1:22" ht="27.75" customHeight="1" thickBot="1" x14ac:dyDescent="0.6">
      <c r="A7" s="30" t="e">
        <f ca="1">"0"&amp;LEFT(SheetName($A$1),1)&amp;".0"&amp;RIGHT(SheetName($A$1),1)</f>
        <v>#NAME?</v>
      </c>
      <c r="B7" s="17"/>
      <c r="C7"/>
      <c r="D7" s="62" t="s">
        <v>8</v>
      </c>
      <c r="E7" s="63" t="s">
        <v>9</v>
      </c>
      <c r="F7" s="63" t="s">
        <v>10</v>
      </c>
      <c r="G7" s="64" t="s">
        <v>11</v>
      </c>
      <c r="H7" s="340" t="s">
        <v>12</v>
      </c>
      <c r="I7" s="340"/>
      <c r="J7" s="340" t="s">
        <v>13</v>
      </c>
      <c r="K7" s="340"/>
      <c r="L7" s="341" t="s">
        <v>14</v>
      </c>
      <c r="M7" s="340"/>
      <c r="N7" s="340"/>
      <c r="O7" s="340"/>
      <c r="P7" s="340"/>
      <c r="Q7" s="340" t="s">
        <v>15</v>
      </c>
      <c r="R7" s="340"/>
      <c r="S7" s="342"/>
      <c r="T7" s="5"/>
      <c r="U7" s="391" t="s">
        <v>16</v>
      </c>
      <c r="V7" s="392"/>
    </row>
    <row r="8" spans="1:22" ht="15.75" customHeight="1" x14ac:dyDescent="0.35">
      <c r="A8" s="59" t="e">
        <f ca="1">MATCH(A7,OFFSET(#REF!,0,(VALUE(LEFT(SheetName($A$1),1))-1)*$A$6,50,1),0)</f>
        <v>#NAME?</v>
      </c>
      <c r="B8" s="17"/>
      <c r="C8"/>
      <c r="D8" s="375" t="e">
        <f ca="1">OFFSET(#REF!,A8,A9+1)</f>
        <v>#REF!</v>
      </c>
      <c r="E8" s="353" t="e">
        <f ca="1">LEFT(L2,5)</f>
        <v>#NAME?</v>
      </c>
      <c r="F8" s="355" t="s">
        <v>17</v>
      </c>
      <c r="G8" s="357" t="e">
        <f ca="1">H4</f>
        <v>#REF!</v>
      </c>
      <c r="H8" s="359">
        <v>0</v>
      </c>
      <c r="I8" s="360"/>
      <c r="J8" s="363" t="s">
        <v>6</v>
      </c>
      <c r="K8" s="363"/>
      <c r="L8" s="365"/>
      <c r="M8" s="366"/>
      <c r="N8" s="366"/>
      <c r="O8" s="366"/>
      <c r="P8" s="367"/>
      <c r="Q8" s="371"/>
      <c r="R8" s="371"/>
      <c r="S8" s="372"/>
      <c r="T8" s="5"/>
      <c r="U8" s="287" t="s">
        <v>18</v>
      </c>
      <c r="V8" s="288"/>
    </row>
    <row r="9" spans="1:22" ht="15.75" customHeight="1" thickBot="1" x14ac:dyDescent="0.4">
      <c r="A9" s="59" t="e">
        <f ca="1">(VALUE(LEFT(SheetName($A$1),1))-1)*$A$6</f>
        <v>#NAME?</v>
      </c>
      <c r="B9" s="17"/>
      <c r="C9"/>
      <c r="D9" s="376"/>
      <c r="E9" s="354"/>
      <c r="F9" s="356"/>
      <c r="G9" s="358"/>
      <c r="H9" s="361"/>
      <c r="I9" s="362"/>
      <c r="J9" s="364"/>
      <c r="K9" s="364"/>
      <c r="L9" s="368"/>
      <c r="M9" s="369"/>
      <c r="N9" s="369"/>
      <c r="O9" s="369"/>
      <c r="P9" s="370"/>
      <c r="Q9" s="373"/>
      <c r="R9" s="373"/>
      <c r="S9" s="374"/>
      <c r="T9" s="5"/>
      <c r="U9" s="289"/>
      <c r="V9" s="290"/>
    </row>
    <row r="10" spans="1:22" ht="15.75" customHeight="1" x14ac:dyDescent="0.35">
      <c r="A10" s="16"/>
      <c r="B10" s="16"/>
      <c r="C10"/>
      <c r="D10" s="376"/>
      <c r="E10" s="325" t="e">
        <f ca="1">HYPERLINK("#B"&amp;TEXT($A$3+$A$4*((ROW()-$A$5)/2),"##"),LEFT($L$2,5)&amp;"."&amp;TEXT((ROW()-$A$5)/2,"0#"))</f>
        <v>#NAME?</v>
      </c>
      <c r="F10" s="343" t="s">
        <v>19</v>
      </c>
      <c r="G10" s="344" t="s">
        <v>20</v>
      </c>
      <c r="H10" s="345">
        <f ca="1">OFFSET(INDIRECT("G"&amp;TEXT(10+$A$4*((ROW()-$A$5)/2),"#")),0,COUNT(INDIRECT("H"&amp;TEXT(10+$A$4*((ROW()-$A$5)/2),"#")):INDIRECT("S"&amp;TEXT(10+$A$4*((ROW()-$A$5)/2),"#"))))</f>
        <v>0</v>
      </c>
      <c r="I10" s="346"/>
      <c r="J10" s="304" t="str">
        <f ca="1">INDIRECT("q"&amp;TEXT(6+$A$4*((ROW()-$A$5)/2),"#"))</f>
        <v>dd-mm-yyyy</v>
      </c>
      <c r="K10" s="304" t="str">
        <f t="shared" ref="J10:K25" ca="1" si="0">INDIRECT("Q56")</f>
        <v>dd-mm-yyyy</v>
      </c>
      <c r="L10" s="347"/>
      <c r="M10" s="348"/>
      <c r="N10" s="348"/>
      <c r="O10" s="348"/>
      <c r="P10" s="349"/>
      <c r="Q10" s="351"/>
      <c r="R10" s="351"/>
      <c r="S10" s="352"/>
      <c r="T10" s="5"/>
      <c r="U10" s="199">
        <v>0</v>
      </c>
      <c r="V10" s="200" t="s">
        <v>21</v>
      </c>
    </row>
    <row r="11" spans="1:22" ht="15.75" customHeight="1" x14ac:dyDescent="0.35">
      <c r="A11" s="16"/>
      <c r="B11" s="16"/>
      <c r="C11"/>
      <c r="D11" s="376"/>
      <c r="E11" s="326"/>
      <c r="F11" s="306"/>
      <c r="G11" s="308"/>
      <c r="H11" s="302"/>
      <c r="I11" s="303"/>
      <c r="J11" s="305" t="str">
        <f t="shared" ca="1" si="0"/>
        <v>dd-mm-yyyy</v>
      </c>
      <c r="K11" s="305" t="str">
        <f t="shared" ca="1" si="0"/>
        <v>dd-mm-yyyy</v>
      </c>
      <c r="L11" s="350"/>
      <c r="M11" s="348"/>
      <c r="N11" s="348"/>
      <c r="O11" s="348"/>
      <c r="P11" s="349"/>
      <c r="Q11" s="310"/>
      <c r="R11" s="310"/>
      <c r="S11" s="311"/>
      <c r="T11" s="5"/>
      <c r="U11" s="33">
        <v>1</v>
      </c>
      <c r="V11" s="201" t="s">
        <v>22</v>
      </c>
    </row>
    <row r="12" spans="1:22" ht="15.75" customHeight="1" x14ac:dyDescent="0.35">
      <c r="A12" s="28"/>
      <c r="B12" s="16"/>
      <c r="C12"/>
      <c r="D12" s="376"/>
      <c r="E12" s="325" t="e">
        <f ca="1">HYPERLINK("#B"&amp;TEXT($A$3+$A$4*((ROW()-$A$5)/2),"##"),LEFT($L$2,5)&amp;"."&amp;TEXT((ROW()-$A$5)/2,"0#"))</f>
        <v>#NAME?</v>
      </c>
      <c r="F12" s="306" t="s">
        <v>23</v>
      </c>
      <c r="G12" s="307" t="s">
        <v>24</v>
      </c>
      <c r="H12" s="300">
        <f ca="1">OFFSET(INDIRECT("G"&amp;TEXT(10+$A$4*((ROW()-$A$5)/2),"#")),0,COUNT(INDIRECT("H"&amp;TEXT(10+$A$4*((ROW()-$A$5)/2),"#")):INDIRECT("S"&amp;TEXT(10+$A$4*((ROW()-$A$5)/2),"#"))))</f>
        <v>0</v>
      </c>
      <c r="I12" s="301"/>
      <c r="J12" s="304" t="str">
        <f t="shared" ref="J12" ca="1" si="1">INDIRECT("q"&amp;TEXT(6+$A$4*((ROW()-$A$5)/2),"#"))</f>
        <v>dd-mm-yyyy</v>
      </c>
      <c r="K12" s="304" t="str">
        <f t="shared" ca="1" si="0"/>
        <v>dd-mm-yyyy</v>
      </c>
      <c r="L12" s="330"/>
      <c r="M12" s="309"/>
      <c r="N12" s="309"/>
      <c r="O12" s="309"/>
      <c r="P12" s="309"/>
      <c r="Q12" s="310"/>
      <c r="R12" s="310"/>
      <c r="S12" s="311"/>
      <c r="T12" s="5"/>
      <c r="U12" s="41">
        <v>2</v>
      </c>
      <c r="V12" s="202" t="s">
        <v>25</v>
      </c>
    </row>
    <row r="13" spans="1:22" ht="15.75" customHeight="1" x14ac:dyDescent="0.35">
      <c r="A13" s="28"/>
      <c r="B13" s="16"/>
      <c r="C13"/>
      <c r="D13" s="376"/>
      <c r="E13" s="326"/>
      <c r="F13" s="306"/>
      <c r="G13" s="308"/>
      <c r="H13" s="302"/>
      <c r="I13" s="303"/>
      <c r="J13" s="305" t="str">
        <f t="shared" ca="1" si="0"/>
        <v>dd-mm-yyyy</v>
      </c>
      <c r="K13" s="305" t="str">
        <f t="shared" ca="1" si="0"/>
        <v>dd-mm-yyyy</v>
      </c>
      <c r="L13" s="309"/>
      <c r="M13" s="309"/>
      <c r="N13" s="309"/>
      <c r="O13" s="309"/>
      <c r="P13" s="309"/>
      <c r="Q13" s="310"/>
      <c r="R13" s="310"/>
      <c r="S13" s="311"/>
      <c r="T13" s="5"/>
      <c r="U13" s="38">
        <v>3</v>
      </c>
      <c r="V13" s="203" t="s">
        <v>26</v>
      </c>
    </row>
    <row r="14" spans="1:22" ht="15.75" customHeight="1" x14ac:dyDescent="0.35">
      <c r="A14" s="28"/>
      <c r="B14" s="16"/>
      <c r="C14"/>
      <c r="D14" s="376"/>
      <c r="E14" s="325" t="e">
        <f ca="1">HYPERLINK("#B"&amp;TEXT($A$3+$A$4*((ROW()-$A$5)/2),"##"),LEFT($L$2,5)&amp;"."&amp;TEXT((ROW()-$A$5)/2,"0#"))</f>
        <v>#NAME?</v>
      </c>
      <c r="F14" s="329" t="s">
        <v>27</v>
      </c>
      <c r="G14" s="307" t="s">
        <v>28</v>
      </c>
      <c r="H14" s="300">
        <f ca="1">OFFSET(INDIRECT("G"&amp;TEXT(10+$A$4*((ROW()-$A$5)/2),"#")),0,COUNT(INDIRECT("H"&amp;TEXT(10+$A$4*((ROW()-$A$5)/2),"#")):INDIRECT("S"&amp;TEXT(10+$A$4*((ROW()-$A$5)/2),"#"))))</f>
        <v>0</v>
      </c>
      <c r="I14" s="301"/>
      <c r="J14" s="304" t="str">
        <f t="shared" ref="J14" ca="1" si="2">INDIRECT("q"&amp;TEXT(6+$A$4*((ROW()-$A$5)/2),"#"))</f>
        <v>dd-mm-yyyy</v>
      </c>
      <c r="K14" s="304" t="str">
        <f t="shared" ca="1" si="0"/>
        <v>dd-mm-yyyy</v>
      </c>
      <c r="L14" s="330"/>
      <c r="M14" s="309"/>
      <c r="N14" s="309"/>
      <c r="O14" s="309"/>
      <c r="P14" s="309"/>
      <c r="Q14" s="310"/>
      <c r="R14" s="310"/>
      <c r="S14" s="311"/>
      <c r="T14" s="5"/>
      <c r="U14" s="35">
        <v>4</v>
      </c>
      <c r="V14" s="204" t="s">
        <v>29</v>
      </c>
    </row>
    <row r="15" spans="1:22" ht="15.75" customHeight="1" thickBot="1" x14ac:dyDescent="0.4">
      <c r="A15" s="28"/>
      <c r="B15" s="16"/>
      <c r="C15"/>
      <c r="D15" s="376"/>
      <c r="E15" s="326"/>
      <c r="F15" s="329"/>
      <c r="G15" s="308"/>
      <c r="H15" s="302"/>
      <c r="I15" s="303"/>
      <c r="J15" s="305" t="str">
        <f t="shared" ca="1" si="0"/>
        <v>dd-mm-yyyy</v>
      </c>
      <c r="K15" s="305" t="str">
        <f t="shared" ca="1" si="0"/>
        <v>dd-mm-yyyy</v>
      </c>
      <c r="L15" s="309"/>
      <c r="M15" s="309"/>
      <c r="N15" s="309"/>
      <c r="O15" s="309"/>
      <c r="P15" s="309"/>
      <c r="Q15" s="310"/>
      <c r="R15" s="310"/>
      <c r="S15" s="311"/>
      <c r="T15" s="5"/>
      <c r="U15" s="46">
        <v>5</v>
      </c>
      <c r="V15" s="60" t="s">
        <v>30</v>
      </c>
    </row>
    <row r="16" spans="1:22" ht="15.75" customHeight="1" x14ac:dyDescent="0.35">
      <c r="A16" s="28"/>
      <c r="B16" s="16"/>
      <c r="C16"/>
      <c r="D16" s="376"/>
      <c r="E16" s="325" t="e">
        <f ca="1">HYPERLINK("#B"&amp;TEXT($A$3+$A$4*((ROW()-$A$5)/2),"##"),LEFT($L$2,5)&amp;"."&amp;TEXT((ROW()-$A$5)/2,"0#"))</f>
        <v>#NAME?</v>
      </c>
      <c r="F16" s="306" t="s">
        <v>31</v>
      </c>
      <c r="G16" s="307" t="s">
        <v>32</v>
      </c>
      <c r="H16" s="300">
        <f ca="1">OFFSET(INDIRECT("G"&amp;TEXT(10+$A$4*((ROW()-$A$5)/2),"#")),0,COUNT(INDIRECT("H"&amp;TEXT(10+$A$4*((ROW()-$A$5)/2),"#")):INDIRECT("S"&amp;TEXT(10+$A$4*((ROW()-$A$5)/2),"#"))))</f>
        <v>0</v>
      </c>
      <c r="I16" s="301"/>
      <c r="J16" s="304" t="str">
        <f t="shared" ref="J16" ca="1" si="3">INDIRECT("q"&amp;TEXT(6+$A$4*((ROW()-$A$5)/2),"#"))</f>
        <v>dd-mm-yyyy</v>
      </c>
      <c r="K16" s="304" t="str">
        <f t="shared" ca="1" si="0"/>
        <v>dd-mm-yyyy</v>
      </c>
      <c r="L16" s="309"/>
      <c r="M16" s="309"/>
      <c r="N16" s="309"/>
      <c r="O16" s="309"/>
      <c r="P16" s="309"/>
      <c r="Q16" s="310"/>
      <c r="R16" s="310"/>
      <c r="S16" s="311"/>
      <c r="T16" s="5"/>
      <c r="U16" s="5"/>
      <c r="V16" s="5"/>
    </row>
    <row r="17" spans="4:19" ht="15.75" customHeight="1" x14ac:dyDescent="0.35">
      <c r="D17" s="376"/>
      <c r="E17" s="326"/>
      <c r="F17" s="306"/>
      <c r="G17" s="308"/>
      <c r="H17" s="302"/>
      <c r="I17" s="303"/>
      <c r="J17" s="305" t="str">
        <f t="shared" ca="1" si="0"/>
        <v>dd-mm-yyyy</v>
      </c>
      <c r="K17" s="305" t="str">
        <f t="shared" ca="1" si="0"/>
        <v>dd-mm-yyyy</v>
      </c>
      <c r="L17" s="309"/>
      <c r="M17" s="309"/>
      <c r="N17" s="309"/>
      <c r="O17" s="309"/>
      <c r="P17" s="309"/>
      <c r="Q17" s="310"/>
      <c r="R17" s="310"/>
      <c r="S17" s="311"/>
    </row>
    <row r="18" spans="4:19" ht="15.75" customHeight="1" x14ac:dyDescent="0.35">
      <c r="D18" s="376"/>
      <c r="E18" s="325" t="e">
        <f ca="1">HYPERLINK("#B"&amp;TEXT($A$3+$A$4*((ROW()-$A$5)/2),"##"),LEFT($L$2,5)&amp;"."&amp;TEXT((ROW()-$A$5)/2,"0#"))</f>
        <v>#NAME?</v>
      </c>
      <c r="F18" s="306" t="s">
        <v>33</v>
      </c>
      <c r="G18" s="307" t="s">
        <v>34</v>
      </c>
      <c r="H18" s="300">
        <f ca="1">OFFSET(INDIRECT("G"&amp;TEXT(10+$A$4*((ROW()-$A$5)/2),"#")),0,COUNT(INDIRECT("H"&amp;TEXT(10+$A$4*((ROW()-$A$5)/2),"#")):INDIRECT("S"&amp;TEXT(10+$A$4*((ROW()-$A$5)/2),"#"))))</f>
        <v>0</v>
      </c>
      <c r="I18" s="301"/>
      <c r="J18" s="304" t="str">
        <f t="shared" ref="J18" ca="1" si="4">INDIRECT("q"&amp;TEXT(6+$A$4*((ROW()-$A$5)/2),"#"))</f>
        <v>dd-mm-yyyy</v>
      </c>
      <c r="K18" s="304" t="str">
        <f t="shared" ca="1" si="0"/>
        <v>dd-mm-yyyy</v>
      </c>
      <c r="L18" s="309"/>
      <c r="M18" s="309"/>
      <c r="N18" s="309"/>
      <c r="O18" s="309"/>
      <c r="P18" s="309"/>
      <c r="Q18" s="310"/>
      <c r="R18" s="310"/>
      <c r="S18" s="311"/>
    </row>
    <row r="19" spans="4:19" ht="15.75" customHeight="1" x14ac:dyDescent="0.35">
      <c r="D19" s="376"/>
      <c r="E19" s="326"/>
      <c r="F19" s="306"/>
      <c r="G19" s="308"/>
      <c r="H19" s="302"/>
      <c r="I19" s="303"/>
      <c r="J19" s="305" t="str">
        <f t="shared" ca="1" si="0"/>
        <v>dd-mm-yyyy</v>
      </c>
      <c r="K19" s="305" t="str">
        <f t="shared" ca="1" si="0"/>
        <v>dd-mm-yyyy</v>
      </c>
      <c r="L19" s="309"/>
      <c r="M19" s="309"/>
      <c r="N19" s="309"/>
      <c r="O19" s="309"/>
      <c r="P19" s="309"/>
      <c r="Q19" s="310"/>
      <c r="R19" s="310"/>
      <c r="S19" s="311"/>
    </row>
    <row r="20" spans="4:19" ht="15.75" customHeight="1" x14ac:dyDescent="0.35">
      <c r="D20" s="376"/>
      <c r="E20" s="325" t="e">
        <f ca="1">HYPERLINK("#B"&amp;TEXT($A$3+$A$4*((ROW()-$A$5)/2),"##"),LEFT($L$2,5)&amp;"."&amp;TEXT((ROW()-$A$5)/2,"0#"))</f>
        <v>#NAME?</v>
      </c>
      <c r="F20" s="306" t="s">
        <v>35</v>
      </c>
      <c r="G20" s="307" t="s">
        <v>36</v>
      </c>
      <c r="H20" s="300">
        <f ca="1">OFFSET(INDIRECT("G"&amp;TEXT(10+$A$4*((ROW()-$A$5)/2),"#")),0,COUNT(INDIRECT("H"&amp;TEXT(10+$A$4*((ROW()-$A$5)/2),"#")):INDIRECT("S"&amp;TEXT(10+$A$4*((ROW()-$A$5)/2),"#"))))</f>
        <v>0</v>
      </c>
      <c r="I20" s="301"/>
      <c r="J20" s="304" t="str">
        <f t="shared" ref="J20" ca="1" si="5">INDIRECT("q"&amp;TEXT(6+$A$4*((ROW()-$A$5)/2),"#"))</f>
        <v>dd-mm-yyyy</v>
      </c>
      <c r="K20" s="304" t="str">
        <f t="shared" ca="1" si="0"/>
        <v>dd-mm-yyyy</v>
      </c>
      <c r="L20" s="328"/>
      <c r="M20" s="309"/>
      <c r="N20" s="309"/>
      <c r="O20" s="309"/>
      <c r="P20" s="309"/>
      <c r="Q20" s="310"/>
      <c r="R20" s="310"/>
      <c r="S20" s="311"/>
    </row>
    <row r="21" spans="4:19" ht="15.75" customHeight="1" thickBot="1" x14ac:dyDescent="0.4">
      <c r="D21" s="377"/>
      <c r="E21" s="326"/>
      <c r="F21" s="306"/>
      <c r="G21" s="308"/>
      <c r="H21" s="302"/>
      <c r="I21" s="303"/>
      <c r="J21" s="305" t="str">
        <f t="shared" ca="1" si="0"/>
        <v>dd-mm-yyyy</v>
      </c>
      <c r="K21" s="305" t="str">
        <f t="shared" ca="1" si="0"/>
        <v>dd-mm-yyyy</v>
      </c>
      <c r="L21" s="309"/>
      <c r="M21" s="309"/>
      <c r="N21" s="309"/>
      <c r="O21" s="309"/>
      <c r="P21" s="309"/>
      <c r="Q21" s="310"/>
      <c r="R21" s="310"/>
      <c r="S21" s="311"/>
    </row>
    <row r="22" spans="4:19" ht="15.75" customHeight="1" x14ac:dyDescent="0.35">
      <c r="D22" s="15" t="s">
        <v>37</v>
      </c>
      <c r="E22" s="325" t="e">
        <f ca="1">HYPERLINK("#B"&amp;TEXT($A$3+$A$4*((ROW()-$A$5)/2),"##"),LEFT($L$2,5)&amp;"."&amp;TEXT((ROW()-$A$5)/2,"0#"))</f>
        <v>#NAME?</v>
      </c>
      <c r="F22" s="306" t="s">
        <v>38</v>
      </c>
      <c r="G22" s="307" t="s">
        <v>39</v>
      </c>
      <c r="H22" s="300">
        <f ca="1">OFFSET(INDIRECT("G"&amp;TEXT(10+$A$4*((ROW()-$A$5)/2),"#")),0,COUNT(INDIRECT("H"&amp;TEXT(10+$A$4*((ROW()-$A$5)/2),"#")):INDIRECT("S"&amp;TEXT(10+$A$4*((ROW()-$A$5)/2),"#"))))</f>
        <v>0</v>
      </c>
      <c r="I22" s="301"/>
      <c r="J22" s="304" t="str">
        <f t="shared" ref="J22" ca="1" si="6">INDIRECT("q"&amp;TEXT(6+$A$4*((ROW()-$A$5)/2),"#"))</f>
        <v>dd-mm-yyyy</v>
      </c>
      <c r="K22" s="304" t="str">
        <f t="shared" ca="1" si="0"/>
        <v>dd-mm-yyyy</v>
      </c>
      <c r="L22" s="309"/>
      <c r="M22" s="309"/>
      <c r="N22" s="309"/>
      <c r="O22" s="309"/>
      <c r="P22" s="309"/>
      <c r="Q22" s="310"/>
      <c r="R22" s="310"/>
      <c r="S22" s="311"/>
    </row>
    <row r="23" spans="4:19" ht="15.75" customHeight="1" thickBot="1" x14ac:dyDescent="0.4">
      <c r="D23" s="15" t="s">
        <v>40</v>
      </c>
      <c r="E23" s="326"/>
      <c r="F23" s="306"/>
      <c r="G23" s="308"/>
      <c r="H23" s="302"/>
      <c r="I23" s="303"/>
      <c r="J23" s="305" t="str">
        <f t="shared" ca="1" si="0"/>
        <v>dd-mm-yyyy</v>
      </c>
      <c r="K23" s="305" t="str">
        <f t="shared" ca="1" si="0"/>
        <v>dd-mm-yyyy</v>
      </c>
      <c r="L23" s="309"/>
      <c r="M23" s="309"/>
      <c r="N23" s="309"/>
      <c r="O23" s="309"/>
      <c r="P23" s="309"/>
      <c r="Q23" s="310"/>
      <c r="R23" s="310"/>
      <c r="S23" s="311"/>
    </row>
    <row r="24" spans="4:19" ht="15.75" customHeight="1" x14ac:dyDescent="0.35">
      <c r="D24" s="322"/>
      <c r="E24" s="325" t="e">
        <f ca="1">HYPERLINK("#B"&amp;TEXT($A$3+$A$4*((ROW()-$A$5)/2),"##"),LEFT($L$2,5)&amp;"."&amp;TEXT((ROW()-$A$5)/2,"0#"))</f>
        <v>#NAME?</v>
      </c>
      <c r="F24" s="306" t="s">
        <v>41</v>
      </c>
      <c r="G24" s="307" t="s">
        <v>42</v>
      </c>
      <c r="H24" s="300">
        <f ca="1">OFFSET(INDIRECT("G"&amp;TEXT(10+$A$4*((ROW()-$A$5)/2),"#")),0,COUNT(INDIRECT("H"&amp;TEXT(10+$A$4*((ROW()-$A$5)/2),"#")):INDIRECT("S"&amp;TEXT(10+$A$4*((ROW()-$A$5)/2),"#"))))</f>
        <v>0</v>
      </c>
      <c r="I24" s="301"/>
      <c r="J24" s="304" t="str">
        <f t="shared" ref="J24" ca="1" si="7">INDIRECT("q"&amp;TEXT(6+$A$4*((ROW()-$A$5)/2),"#"))</f>
        <v>dd-mm-yyyy</v>
      </c>
      <c r="K24" s="304" t="str">
        <f t="shared" ca="1" si="0"/>
        <v>dd-mm-yyyy</v>
      </c>
      <c r="L24" s="309"/>
      <c r="M24" s="309"/>
      <c r="N24" s="309"/>
      <c r="O24" s="309"/>
      <c r="P24" s="309"/>
      <c r="Q24" s="310"/>
      <c r="R24" s="310"/>
      <c r="S24" s="311"/>
    </row>
    <row r="25" spans="4:19" ht="15.75" customHeight="1" x14ac:dyDescent="0.35">
      <c r="D25" s="323"/>
      <c r="E25" s="326"/>
      <c r="F25" s="306"/>
      <c r="G25" s="308"/>
      <c r="H25" s="302"/>
      <c r="I25" s="303"/>
      <c r="J25" s="305" t="str">
        <f t="shared" ca="1" si="0"/>
        <v>dd-mm-yyyy</v>
      </c>
      <c r="K25" s="305" t="str">
        <f t="shared" ca="1" si="0"/>
        <v>dd-mm-yyyy</v>
      </c>
      <c r="L25" s="309"/>
      <c r="M25" s="309"/>
      <c r="N25" s="309"/>
      <c r="O25" s="309"/>
      <c r="P25" s="309"/>
      <c r="Q25" s="310"/>
      <c r="R25" s="310"/>
      <c r="S25" s="311"/>
    </row>
    <row r="26" spans="4:19" ht="15.75" customHeight="1" x14ac:dyDescent="0.35">
      <c r="D26" s="323"/>
      <c r="E26" s="325" t="e">
        <f ca="1">HYPERLINK("#B"&amp;TEXT($A$3+$A$4*((ROW()-$A$5)/2),"##"),LEFT($L$2,5)&amp;"."&amp;TEXT((ROW()-$A$5)/2,"0#"))</f>
        <v>#NAME?</v>
      </c>
      <c r="F26" s="306" t="s">
        <v>43</v>
      </c>
      <c r="G26" s="307" t="s">
        <v>44</v>
      </c>
      <c r="H26" s="300">
        <f ca="1">OFFSET(INDIRECT("G"&amp;TEXT(10+$A$4*((ROW()-$A$5)/2),"#")),0,COUNT(INDIRECT("H"&amp;TEXT(10+$A$4*((ROW()-$A$5)/2),"#")):INDIRECT("S"&amp;TEXT(10+$A$4*((ROW()-$A$5)/2),"#"))))</f>
        <v>0</v>
      </c>
      <c r="I26" s="301"/>
      <c r="J26" s="304" t="str">
        <f t="shared" ref="J26" ca="1" si="8">INDIRECT("q"&amp;TEXT(6+$A$4*((ROW()-$A$5)/2),"#"))</f>
        <v>dd-mm-yyyy</v>
      </c>
      <c r="K26" s="304" t="str">
        <f t="shared" ref="J26:K39" ca="1" si="9">INDIRECT("Q56")</f>
        <v>dd-mm-yyyy</v>
      </c>
      <c r="L26" s="328"/>
      <c r="M26" s="309"/>
      <c r="N26" s="309"/>
      <c r="O26" s="309"/>
      <c r="P26" s="309"/>
      <c r="Q26" s="310"/>
      <c r="R26" s="310"/>
      <c r="S26" s="311"/>
    </row>
    <row r="27" spans="4:19" ht="15.75" customHeight="1" thickBot="1" x14ac:dyDescent="0.4">
      <c r="D27" s="327"/>
      <c r="E27" s="326"/>
      <c r="F27" s="306"/>
      <c r="G27" s="308"/>
      <c r="H27" s="302"/>
      <c r="I27" s="303"/>
      <c r="J27" s="305" t="str">
        <f t="shared" ca="1" si="9"/>
        <v>dd-mm-yyyy</v>
      </c>
      <c r="K27" s="305" t="str">
        <f t="shared" ca="1" si="9"/>
        <v>dd-mm-yyyy</v>
      </c>
      <c r="L27" s="309"/>
      <c r="M27" s="309"/>
      <c r="N27" s="309"/>
      <c r="O27" s="309"/>
      <c r="P27" s="309"/>
      <c r="Q27" s="310"/>
      <c r="R27" s="310"/>
      <c r="S27" s="311"/>
    </row>
    <row r="28" spans="4:19" ht="15.75" customHeight="1" x14ac:dyDescent="0.35">
      <c r="D28" s="322"/>
      <c r="E28" s="325" t="e">
        <f ca="1">HYPERLINK("#B"&amp;TEXT($A$3+$A$4*((ROW()-$A$5)/2),"##"),LEFT($L$2,5)&amp;"."&amp;TEXT((ROW()-$A$5)/2,"0#"))</f>
        <v>#NAME?</v>
      </c>
      <c r="F28" s="306" t="s">
        <v>45</v>
      </c>
      <c r="G28" s="307" t="s">
        <v>46</v>
      </c>
      <c r="H28" s="300">
        <f ca="1">OFFSET(INDIRECT("G"&amp;TEXT(10+$A$4*((ROW()-$A$5)/2),"#")),0,COUNT(INDIRECT("H"&amp;TEXT(10+$A$4*((ROW()-$A$5)/2),"#")):INDIRECT("S"&amp;TEXT(10+$A$4*((ROW()-$A$5)/2),"#"))))</f>
        <v>0</v>
      </c>
      <c r="I28" s="301"/>
      <c r="J28" s="304" t="str">
        <f t="shared" ref="J28" ca="1" si="10">INDIRECT("q"&amp;TEXT(6+$A$4*((ROW()-$A$5)/2),"#"))</f>
        <v>dd-mm-yyyy</v>
      </c>
      <c r="K28" s="304" t="str">
        <f t="shared" ca="1" si="9"/>
        <v>dd-mm-yyyy</v>
      </c>
      <c r="L28" s="328"/>
      <c r="M28" s="309"/>
      <c r="N28" s="309"/>
      <c r="O28" s="309"/>
      <c r="P28" s="309"/>
      <c r="Q28" s="310"/>
      <c r="R28" s="310"/>
      <c r="S28" s="311"/>
    </row>
    <row r="29" spans="4:19" ht="15.75" customHeight="1" x14ac:dyDescent="0.35">
      <c r="D29" s="323"/>
      <c r="E29" s="326"/>
      <c r="F29" s="306"/>
      <c r="G29" s="308"/>
      <c r="H29" s="302"/>
      <c r="I29" s="303"/>
      <c r="J29" s="305" t="str">
        <f t="shared" ca="1" si="9"/>
        <v>dd-mm-yyyy</v>
      </c>
      <c r="K29" s="305" t="str">
        <f t="shared" ca="1" si="9"/>
        <v>dd-mm-yyyy</v>
      </c>
      <c r="L29" s="309"/>
      <c r="M29" s="309"/>
      <c r="N29" s="309"/>
      <c r="O29" s="309"/>
      <c r="P29" s="309"/>
      <c r="Q29" s="310"/>
      <c r="R29" s="310"/>
      <c r="S29" s="311"/>
    </row>
    <row r="30" spans="4:19" ht="15.75" customHeight="1" x14ac:dyDescent="0.35">
      <c r="D30" s="323"/>
      <c r="E30" s="325" t="e">
        <f ca="1">HYPERLINK("#B"&amp;TEXT($A$3+$A$4*((ROW()-$A$5)/2),"##"),LEFT($L$2,5)&amp;"."&amp;TEXT((ROW()-$A$5)/2,"0#"))</f>
        <v>#NAME?</v>
      </c>
      <c r="F30" s="306" t="s">
        <v>47</v>
      </c>
      <c r="G30" s="307" t="s">
        <v>48</v>
      </c>
      <c r="H30" s="300">
        <f ca="1">OFFSET(INDIRECT("G"&amp;TEXT(10+$A$4*((ROW()-$A$5)/2),"#")),0,COUNT(INDIRECT("H"&amp;TEXT(10+$A$4*((ROW()-$A$5)/2),"#")):INDIRECT("S"&amp;TEXT(10+$A$4*((ROW()-$A$5)/2),"#"))))</f>
        <v>0</v>
      </c>
      <c r="I30" s="301"/>
      <c r="J30" s="304" t="str">
        <f t="shared" ref="J30" ca="1" si="11">INDIRECT("q"&amp;TEXT(6+$A$4*((ROW()-$A$5)/2),"#"))</f>
        <v>dd-mm-yyyy</v>
      </c>
      <c r="K30" s="304" t="str">
        <f t="shared" ca="1" si="9"/>
        <v>dd-mm-yyyy</v>
      </c>
      <c r="L30" s="309"/>
      <c r="M30" s="309"/>
      <c r="N30" s="309"/>
      <c r="O30" s="309"/>
      <c r="P30" s="309"/>
      <c r="Q30" s="310"/>
      <c r="R30" s="310"/>
      <c r="S30" s="311"/>
    </row>
    <row r="31" spans="4:19" ht="15.75" customHeight="1" thickBot="1" x14ac:dyDescent="0.4">
      <c r="D31" s="327"/>
      <c r="E31" s="326"/>
      <c r="F31" s="306"/>
      <c r="G31" s="308"/>
      <c r="H31" s="302"/>
      <c r="I31" s="303"/>
      <c r="J31" s="305" t="str">
        <f t="shared" ca="1" si="9"/>
        <v>dd-mm-yyyy</v>
      </c>
      <c r="K31" s="305" t="str">
        <f t="shared" ca="1" si="9"/>
        <v>dd-mm-yyyy</v>
      </c>
      <c r="L31" s="309"/>
      <c r="M31" s="309"/>
      <c r="N31" s="309"/>
      <c r="O31" s="309"/>
      <c r="P31" s="309"/>
      <c r="Q31" s="310"/>
      <c r="R31" s="310"/>
      <c r="S31" s="311"/>
    </row>
    <row r="32" spans="4:19" ht="15.75" customHeight="1" x14ac:dyDescent="0.35">
      <c r="D32" s="322"/>
      <c r="E32" s="325" t="e">
        <f ca="1">HYPERLINK("#B"&amp;TEXT($A$3+$A$4*((ROW()-$A$5)/2),"##"),LEFT($L$2,5)&amp;"."&amp;TEXT((ROW()-$A$5)/2,"0#"))</f>
        <v>#NAME?</v>
      </c>
      <c r="F32" s="306" t="s">
        <v>49</v>
      </c>
      <c r="G32" s="307" t="s">
        <v>50</v>
      </c>
      <c r="H32" s="300">
        <f ca="1">OFFSET(INDIRECT("G"&amp;TEXT(10+$A$4*((ROW()-$A$5)/2),"#")),0,COUNT(INDIRECT("H"&amp;TEXT(10+$A$4*((ROW()-$A$5)/2),"#")):INDIRECT("S"&amp;TEXT(10+$A$4*((ROW()-$A$5)/2),"#"))))</f>
        <v>0</v>
      </c>
      <c r="I32" s="301"/>
      <c r="J32" s="304" t="str">
        <f t="shared" ref="J32" ca="1" si="12">INDIRECT("q"&amp;TEXT(6+$A$4*((ROW()-$A$5)/2),"#"))</f>
        <v>dd-mm-yyyy</v>
      </c>
      <c r="K32" s="304" t="str">
        <f t="shared" ca="1" si="9"/>
        <v>dd-mm-yyyy</v>
      </c>
      <c r="L32" s="309"/>
      <c r="M32" s="309"/>
      <c r="N32" s="309"/>
      <c r="O32" s="309"/>
      <c r="P32" s="309"/>
      <c r="Q32" s="310"/>
      <c r="R32" s="310"/>
      <c r="S32" s="311"/>
    </row>
    <row r="33" spans="4:19" ht="15.75" customHeight="1" x14ac:dyDescent="0.35">
      <c r="D33" s="323"/>
      <c r="E33" s="326"/>
      <c r="F33" s="306"/>
      <c r="G33" s="308"/>
      <c r="H33" s="302"/>
      <c r="I33" s="303"/>
      <c r="J33" s="305" t="str">
        <f t="shared" ca="1" si="9"/>
        <v>dd-mm-yyyy</v>
      </c>
      <c r="K33" s="305" t="str">
        <f t="shared" ca="1" si="9"/>
        <v>dd-mm-yyyy</v>
      </c>
      <c r="L33" s="309"/>
      <c r="M33" s="309"/>
      <c r="N33" s="309"/>
      <c r="O33" s="309"/>
      <c r="P33" s="309"/>
      <c r="Q33" s="310"/>
      <c r="R33" s="310"/>
      <c r="S33" s="311"/>
    </row>
    <row r="34" spans="4:19" ht="15.75" customHeight="1" x14ac:dyDescent="0.35">
      <c r="D34" s="323"/>
      <c r="E34" s="325" t="e">
        <f ca="1">HYPERLINK("#B"&amp;TEXT($A$3+$A$4*((ROW()-$A$5)/2),"##"),LEFT($L$2,5)&amp;"."&amp;TEXT((ROW()-$A$5)/2,"0#"))</f>
        <v>#NAME?</v>
      </c>
      <c r="F34" s="306" t="s">
        <v>51</v>
      </c>
      <c r="G34" s="307" t="s">
        <v>52</v>
      </c>
      <c r="H34" s="300">
        <f ca="1">OFFSET(INDIRECT("G"&amp;TEXT(10+$A$4*((ROW()-$A$5)/2),"#")),0,COUNT(INDIRECT("H"&amp;TEXT(10+$A$4*((ROW()-$A$5)/2),"#")):INDIRECT("S"&amp;TEXT(10+$A$4*((ROW()-$A$5)/2),"#"))))</f>
        <v>0</v>
      </c>
      <c r="I34" s="301"/>
      <c r="J34" s="304" t="str">
        <f t="shared" ref="J34" ca="1" si="13">INDIRECT("q"&amp;TEXT(6+$A$4*((ROW()-$A$5)/2),"#"))</f>
        <v>dd-mm-yyyy</v>
      </c>
      <c r="K34" s="304" t="str">
        <f t="shared" ca="1" si="9"/>
        <v>dd-mm-yyyy</v>
      </c>
      <c r="L34" s="309"/>
      <c r="M34" s="309"/>
      <c r="N34" s="309"/>
      <c r="O34" s="309"/>
      <c r="P34" s="309"/>
      <c r="Q34" s="310"/>
      <c r="R34" s="310"/>
      <c r="S34" s="311"/>
    </row>
    <row r="35" spans="4:19" ht="15.75" customHeight="1" thickBot="1" x14ac:dyDescent="0.4">
      <c r="D35" s="327"/>
      <c r="E35" s="326"/>
      <c r="F35" s="306"/>
      <c r="G35" s="308"/>
      <c r="H35" s="302"/>
      <c r="I35" s="303"/>
      <c r="J35" s="305" t="str">
        <f t="shared" ca="1" si="9"/>
        <v>dd-mm-yyyy</v>
      </c>
      <c r="K35" s="305" t="str">
        <f t="shared" ca="1" si="9"/>
        <v>dd-mm-yyyy</v>
      </c>
      <c r="L35" s="309"/>
      <c r="M35" s="309"/>
      <c r="N35" s="309"/>
      <c r="O35" s="309"/>
      <c r="P35" s="309"/>
      <c r="Q35" s="310"/>
      <c r="R35" s="310"/>
      <c r="S35" s="311"/>
    </row>
    <row r="36" spans="4:19" ht="15.75" customHeight="1" x14ac:dyDescent="0.35">
      <c r="D36" s="322"/>
      <c r="E36" s="325" t="e">
        <f ca="1">HYPERLINK("#B"&amp;TEXT($A$3+$A$4*((ROW()-$A$5)/2),"##"),LEFT($L$2,5)&amp;"."&amp;TEXT((ROW()-$A$5)/2,"0#"))</f>
        <v>#NAME?</v>
      </c>
      <c r="F36" s="306" t="s">
        <v>53</v>
      </c>
      <c r="G36" s="307" t="s">
        <v>54</v>
      </c>
      <c r="H36" s="300">
        <f ca="1">OFFSET(INDIRECT("G"&amp;TEXT(10+$A$4*((ROW()-$A$5)/2),"#")),0,COUNT(INDIRECT("H"&amp;TEXT(10+$A$4*((ROW()-$A$5)/2),"#")):INDIRECT("S"&amp;TEXT(10+$A$4*((ROW()-$A$5)/2),"#"))))</f>
        <v>0</v>
      </c>
      <c r="I36" s="301"/>
      <c r="J36" s="304" t="str">
        <f t="shared" ref="J36" ca="1" si="14">INDIRECT("q"&amp;TEXT(6+$A$4*((ROW()-$A$5)/2),"#"))</f>
        <v>dd-mm-yyyy</v>
      </c>
      <c r="K36" s="304" t="str">
        <f t="shared" ca="1" si="9"/>
        <v>dd-mm-yyyy</v>
      </c>
      <c r="L36" s="309"/>
      <c r="M36" s="309"/>
      <c r="N36" s="309"/>
      <c r="O36" s="309"/>
      <c r="P36" s="309"/>
      <c r="Q36" s="310"/>
      <c r="R36" s="310"/>
      <c r="S36" s="311"/>
    </row>
    <row r="37" spans="4:19" ht="15.75" customHeight="1" x14ac:dyDescent="0.35">
      <c r="D37" s="323"/>
      <c r="E37" s="326"/>
      <c r="F37" s="306"/>
      <c r="G37" s="308"/>
      <c r="H37" s="302"/>
      <c r="I37" s="303"/>
      <c r="J37" s="305" t="str">
        <f t="shared" ca="1" si="9"/>
        <v>dd-mm-yyyy</v>
      </c>
      <c r="K37" s="305" t="str">
        <f t="shared" ca="1" si="9"/>
        <v>dd-mm-yyyy</v>
      </c>
      <c r="L37" s="309"/>
      <c r="M37" s="309"/>
      <c r="N37" s="309"/>
      <c r="O37" s="309"/>
      <c r="P37" s="309"/>
      <c r="Q37" s="310"/>
      <c r="R37" s="310"/>
      <c r="S37" s="311"/>
    </row>
    <row r="38" spans="4:19" ht="15.75" customHeight="1" x14ac:dyDescent="0.35">
      <c r="D38" s="323"/>
      <c r="E38" s="312" t="e">
        <f ca="1">HYPERLINK("#B"&amp;TEXT($A$3+$A$4*((ROW()-$A$5)/2),"##"),LEFT($L$2,5)&amp;"."&amp;TEXT((ROW()-$A$5)/2,"0#"))</f>
        <v>#NAME?</v>
      </c>
      <c r="F38" s="306" t="s">
        <v>55</v>
      </c>
      <c r="G38" s="307" t="s">
        <v>56</v>
      </c>
      <c r="H38" s="300">
        <f ca="1">OFFSET(INDIRECT("G"&amp;TEXT(10+$A$4*((ROW()-$A$5)/2),"#")),0,COUNT(INDIRECT("H"&amp;TEXT(10+$A$4*((ROW()-$A$5)/2),"#")):INDIRECT("S"&amp;TEXT(10+$A$4*((ROW()-$A$5)/2),"#"))))</f>
        <v>0</v>
      </c>
      <c r="I38" s="301"/>
      <c r="J38" s="305" t="str">
        <f t="shared" ref="J38" ca="1" si="15">INDIRECT("q"&amp;TEXT(6+$A$4*((ROW()-$A$5)/2),"#"))</f>
        <v>dd-mm-yyyy</v>
      </c>
      <c r="K38" s="305" t="str">
        <f t="shared" ca="1" si="9"/>
        <v>dd-mm-yyyy</v>
      </c>
      <c r="L38" s="309"/>
      <c r="M38" s="309"/>
      <c r="N38" s="309"/>
      <c r="O38" s="309"/>
      <c r="P38" s="309"/>
      <c r="Q38" s="310"/>
      <c r="R38" s="310"/>
      <c r="S38" s="311"/>
    </row>
    <row r="39" spans="4:19" ht="15.75" customHeight="1" thickBot="1" x14ac:dyDescent="0.4">
      <c r="D39" s="324"/>
      <c r="E39" s="313"/>
      <c r="F39" s="314"/>
      <c r="G39" s="315"/>
      <c r="H39" s="316"/>
      <c r="I39" s="317"/>
      <c r="J39" s="318" t="str">
        <f t="shared" ca="1" si="9"/>
        <v>dd-mm-yyyy</v>
      </c>
      <c r="K39" s="318" t="str">
        <f t="shared" ca="1" si="9"/>
        <v>dd-mm-yyyy</v>
      </c>
      <c r="L39" s="319"/>
      <c r="M39" s="319"/>
      <c r="N39" s="319"/>
      <c r="O39" s="319"/>
      <c r="P39" s="319"/>
      <c r="Q39" s="320"/>
      <c r="R39" s="320"/>
      <c r="S39" s="321"/>
    </row>
    <row r="53" spans="1:22" ht="23" thickBot="1" x14ac:dyDescent="0.5">
      <c r="B53" s="13"/>
      <c r="C53"/>
      <c r="D53" s="11">
        <v>1</v>
      </c>
      <c r="E53" s="11"/>
      <c r="F53" s="14"/>
      <c r="G53" s="14"/>
      <c r="H53" s="14"/>
      <c r="I53" s="14"/>
      <c r="J53" s="14"/>
      <c r="K53" s="14"/>
      <c r="L53" s="14"/>
      <c r="M53" s="14"/>
      <c r="N53" s="14"/>
      <c r="O53" s="14"/>
      <c r="P53" s="14"/>
      <c r="Q53" s="14"/>
      <c r="R53" s="14"/>
      <c r="S53" s="14"/>
      <c r="T53" s="14"/>
      <c r="U53" s="14"/>
      <c r="V53" s="14"/>
    </row>
    <row r="54" spans="1:22" ht="30" customHeight="1" thickBot="1" x14ac:dyDescent="0.4">
      <c r="A54" s="17" t="s">
        <v>57</v>
      </c>
      <c r="C54"/>
      <c r="D54" s="295" t="e">
        <f ca="1">"Hoshin Implementation Plan "&amp;#REF!&amp;"   -   Must Win Battle / Strategy:   "&amp;$L$2</f>
        <v>#REF!</v>
      </c>
      <c r="E54" s="296"/>
      <c r="F54" s="296"/>
      <c r="G54" s="297"/>
      <c r="H54" s="298" t="e">
        <f ca="1">"Work Stream:   "&amp;OFFSET($E$7,2*(D53+1)-1,0)&amp;" - "&amp;OFFSET($F$7,2*(D53+1)-1,0)</f>
        <v>#NAME?</v>
      </c>
      <c r="I54" s="296"/>
      <c r="J54" s="296"/>
      <c r="K54" s="296"/>
      <c r="L54" s="296"/>
      <c r="M54" s="296"/>
      <c r="N54" s="296"/>
      <c r="O54" s="296"/>
      <c r="P54" s="296"/>
      <c r="Q54" s="296"/>
      <c r="R54" s="296"/>
      <c r="S54" s="299"/>
    </row>
    <row r="55" spans="1:22" ht="26" x14ac:dyDescent="0.35">
      <c r="A55" s="17" t="s">
        <v>57</v>
      </c>
      <c r="C55"/>
      <c r="D55" s="240" t="s">
        <v>1</v>
      </c>
      <c r="E55" s="241"/>
      <c r="F55" s="241"/>
      <c r="G55" s="291"/>
      <c r="H55" s="292" t="s">
        <v>2</v>
      </c>
      <c r="I55" s="241"/>
      <c r="J55" s="291"/>
      <c r="K55" s="292" t="s">
        <v>3</v>
      </c>
      <c r="L55" s="241"/>
      <c r="M55" s="241"/>
      <c r="N55" s="241" t="s">
        <v>58</v>
      </c>
      <c r="O55" s="241"/>
      <c r="P55" s="291"/>
      <c r="Q55" s="293" t="s">
        <v>13</v>
      </c>
      <c r="R55" s="293"/>
      <c r="S55" s="294"/>
    </row>
    <row r="56" spans="1:22" ht="26.25" customHeight="1" x14ac:dyDescent="0.35">
      <c r="A56" s="17" t="s">
        <v>57</v>
      </c>
      <c r="C56"/>
      <c r="D56" s="229" t="e">
        <f>$D$4</f>
        <v>#REF!</v>
      </c>
      <c r="E56" s="230"/>
      <c r="F56" s="230"/>
      <c r="G56" s="230"/>
      <c r="H56" s="231" t="e">
        <f>$F$4</f>
        <v>#REF!</v>
      </c>
      <c r="I56" s="230"/>
      <c r="J56" s="232"/>
      <c r="K56" s="233" t="str">
        <f ca="1">OFFSET($G$7,2*(D53+1)-1,0)</f>
        <v>A</v>
      </c>
      <c r="L56" s="234"/>
      <c r="M56" s="235"/>
      <c r="N56" s="236" t="s">
        <v>6</v>
      </c>
      <c r="O56" s="237"/>
      <c r="P56" s="238"/>
      <c r="Q56" s="236" t="s">
        <v>6</v>
      </c>
      <c r="R56" s="237"/>
      <c r="S56" s="239"/>
    </row>
    <row r="57" spans="1:22" ht="26.5" thickBot="1" x14ac:dyDescent="0.4">
      <c r="A57" s="17" t="s">
        <v>57</v>
      </c>
      <c r="C57"/>
      <c r="D57" s="240" t="s">
        <v>7</v>
      </c>
      <c r="E57" s="241"/>
      <c r="F57" s="241"/>
      <c r="G57" s="241"/>
      <c r="H57" s="241"/>
      <c r="I57" s="241"/>
      <c r="J57" s="241"/>
      <c r="K57" s="241"/>
      <c r="L57" s="241"/>
      <c r="M57" s="241"/>
      <c r="N57" s="241"/>
      <c r="O57" s="241"/>
      <c r="P57" s="241"/>
      <c r="Q57" s="241"/>
      <c r="R57" s="241"/>
      <c r="S57" s="242"/>
    </row>
    <row r="58" spans="1:22" ht="27" customHeight="1" x14ac:dyDescent="0.35">
      <c r="A58" s="17" t="s">
        <v>57</v>
      </c>
      <c r="C58"/>
      <c r="D58" s="224" t="s">
        <v>59</v>
      </c>
      <c r="E58" s="225"/>
      <c r="F58" s="225"/>
      <c r="G58" s="225"/>
      <c r="H58" s="225"/>
      <c r="I58" s="225"/>
      <c r="J58" s="225"/>
      <c r="K58" s="225"/>
      <c r="L58" s="225"/>
      <c r="M58" s="225"/>
      <c r="N58" s="225"/>
      <c r="O58" s="225"/>
      <c r="P58" s="225"/>
      <c r="Q58" s="225"/>
      <c r="R58" s="225"/>
      <c r="S58" s="226"/>
      <c r="U58" s="391" t="s">
        <v>16</v>
      </c>
      <c r="V58" s="392"/>
    </row>
    <row r="59" spans="1:22" ht="27" customHeight="1" thickBot="1" x14ac:dyDescent="0.4">
      <c r="A59" s="17" t="s">
        <v>57</v>
      </c>
      <c r="C59"/>
      <c r="D59" s="92" t="s">
        <v>60</v>
      </c>
      <c r="E59" s="227" t="s">
        <v>61</v>
      </c>
      <c r="F59" s="228"/>
      <c r="G59" s="93" t="s">
        <v>11</v>
      </c>
      <c r="H59" s="94" t="s">
        <v>62</v>
      </c>
      <c r="I59" s="94" t="s">
        <v>63</v>
      </c>
      <c r="J59" s="94" t="s">
        <v>64</v>
      </c>
      <c r="K59" s="94" t="s">
        <v>65</v>
      </c>
      <c r="L59" s="94" t="s">
        <v>66</v>
      </c>
      <c r="M59" s="94" t="s">
        <v>67</v>
      </c>
      <c r="N59" s="94" t="s">
        <v>68</v>
      </c>
      <c r="O59" s="94" t="s">
        <v>69</v>
      </c>
      <c r="P59" s="94" t="s">
        <v>70</v>
      </c>
      <c r="Q59" s="94" t="s">
        <v>71</v>
      </c>
      <c r="R59" s="94" t="s">
        <v>72</v>
      </c>
      <c r="S59" s="95" t="s">
        <v>73</v>
      </c>
      <c r="U59" s="287" t="s">
        <v>74</v>
      </c>
      <c r="V59" s="288"/>
    </row>
    <row r="60" spans="1:22" ht="15.75" customHeight="1" thickBot="1" x14ac:dyDescent="0.4">
      <c r="A60" s="8" t="s">
        <v>75</v>
      </c>
      <c r="C60"/>
      <c r="D60" s="250" t="s">
        <v>76</v>
      </c>
      <c r="E60" s="96" t="s">
        <v>77</v>
      </c>
      <c r="F60" s="97" t="s">
        <v>78</v>
      </c>
      <c r="G60" s="65"/>
      <c r="H60" s="66"/>
      <c r="I60" s="67"/>
      <c r="J60" s="67"/>
      <c r="K60" s="67"/>
      <c r="L60" s="67"/>
      <c r="M60" s="68"/>
      <c r="N60" s="68"/>
      <c r="O60" s="68"/>
      <c r="P60" s="68"/>
      <c r="Q60" s="68"/>
      <c r="R60" s="68"/>
      <c r="S60" s="69"/>
      <c r="U60" s="289"/>
      <c r="V60" s="290"/>
    </row>
    <row r="61" spans="1:22" ht="15" thickBot="1" x14ac:dyDescent="0.4">
      <c r="A61" s="8" t="s">
        <v>75</v>
      </c>
      <c r="C61"/>
      <c r="D61" s="251"/>
      <c r="E61" s="70" t="s">
        <v>79</v>
      </c>
      <c r="F61" s="71" t="s">
        <v>80</v>
      </c>
      <c r="G61" s="72"/>
      <c r="H61" s="73"/>
      <c r="I61" s="74"/>
      <c r="J61" s="74"/>
      <c r="K61" s="74"/>
      <c r="L61" s="74"/>
      <c r="M61" s="75"/>
      <c r="N61" s="75"/>
      <c r="O61" s="75"/>
      <c r="P61" s="75"/>
      <c r="Q61" s="75"/>
      <c r="R61" s="75"/>
      <c r="S61" s="76"/>
      <c r="U61" s="199">
        <v>0</v>
      </c>
      <c r="V61" s="200" t="s">
        <v>21</v>
      </c>
    </row>
    <row r="62" spans="1:22" ht="15" thickBot="1" x14ac:dyDescent="0.4">
      <c r="A62" s="8" t="s">
        <v>75</v>
      </c>
      <c r="C62"/>
      <c r="D62" s="251"/>
      <c r="E62" s="77" t="s">
        <v>81</v>
      </c>
      <c r="F62" s="78" t="s">
        <v>82</v>
      </c>
      <c r="G62" s="79"/>
      <c r="H62" s="80"/>
      <c r="I62" s="81"/>
      <c r="J62" s="81"/>
      <c r="K62" s="81"/>
      <c r="L62" s="81"/>
      <c r="M62" s="82"/>
      <c r="N62" s="83"/>
      <c r="O62" s="83"/>
      <c r="P62" s="83"/>
      <c r="Q62" s="83"/>
      <c r="R62" s="83"/>
      <c r="S62" s="84"/>
      <c r="U62" s="33">
        <v>1</v>
      </c>
      <c r="V62" s="201" t="s">
        <v>22</v>
      </c>
    </row>
    <row r="63" spans="1:22" ht="15" thickBot="1" x14ac:dyDescent="0.4">
      <c r="A63" s="8" t="s">
        <v>75</v>
      </c>
      <c r="C63"/>
      <c r="D63" s="251"/>
      <c r="E63" s="77" t="s">
        <v>83</v>
      </c>
      <c r="F63" s="78" t="s">
        <v>84</v>
      </c>
      <c r="G63" s="79"/>
      <c r="H63" s="80"/>
      <c r="I63" s="81"/>
      <c r="J63" s="81"/>
      <c r="K63" s="81"/>
      <c r="L63" s="81"/>
      <c r="M63" s="83"/>
      <c r="N63" s="83"/>
      <c r="O63" s="83"/>
      <c r="P63" s="83"/>
      <c r="Q63" s="83"/>
      <c r="R63" s="83"/>
      <c r="S63" s="84"/>
      <c r="U63" s="41">
        <v>2</v>
      </c>
      <c r="V63" s="202" t="s">
        <v>25</v>
      </c>
    </row>
    <row r="64" spans="1:22" ht="15" thickBot="1" x14ac:dyDescent="0.4">
      <c r="A64" s="5" t="s">
        <v>75</v>
      </c>
      <c r="C64"/>
      <c r="D64" s="251"/>
      <c r="E64" s="77" t="s">
        <v>85</v>
      </c>
      <c r="F64" s="78" t="s">
        <v>86</v>
      </c>
      <c r="G64" s="79"/>
      <c r="H64" s="80"/>
      <c r="I64" s="81"/>
      <c r="J64" s="81"/>
      <c r="K64" s="81"/>
      <c r="L64" s="81"/>
      <c r="M64" s="83"/>
      <c r="N64" s="83"/>
      <c r="O64" s="83"/>
      <c r="P64" s="83"/>
      <c r="Q64" s="83"/>
      <c r="R64" s="83"/>
      <c r="S64" s="84"/>
      <c r="U64" s="38">
        <v>3</v>
      </c>
      <c r="V64" s="203" t="s">
        <v>26</v>
      </c>
    </row>
    <row r="65" spans="1:22" ht="15" thickBot="1" x14ac:dyDescent="0.4">
      <c r="A65" s="5" t="s">
        <v>75</v>
      </c>
      <c r="C65"/>
      <c r="D65" s="252"/>
      <c r="E65" s="77" t="s">
        <v>87</v>
      </c>
      <c r="F65" s="78" t="s">
        <v>88</v>
      </c>
      <c r="G65" s="79"/>
      <c r="H65" s="80"/>
      <c r="I65" s="81"/>
      <c r="J65" s="81"/>
      <c r="K65" s="81"/>
      <c r="L65" s="81"/>
      <c r="M65" s="83"/>
      <c r="N65" s="83"/>
      <c r="O65" s="83"/>
      <c r="P65" s="83"/>
      <c r="Q65" s="83"/>
      <c r="R65" s="83"/>
      <c r="S65" s="84"/>
      <c r="U65" s="35">
        <v>4</v>
      </c>
      <c r="V65" s="204" t="s">
        <v>29</v>
      </c>
    </row>
    <row r="66" spans="1:22" ht="15" thickBot="1" x14ac:dyDescent="0.4">
      <c r="A66" s="5" t="s">
        <v>75</v>
      </c>
      <c r="C66"/>
      <c r="D66" s="253" t="s">
        <v>37</v>
      </c>
      <c r="E66" s="77" t="s">
        <v>89</v>
      </c>
      <c r="F66" s="78" t="s">
        <v>90</v>
      </c>
      <c r="G66" s="79"/>
      <c r="H66" s="80"/>
      <c r="I66" s="81"/>
      <c r="J66" s="81"/>
      <c r="K66" s="81"/>
      <c r="L66" s="81"/>
      <c r="M66" s="83"/>
      <c r="N66" s="83"/>
      <c r="O66" s="83"/>
      <c r="P66" s="83"/>
      <c r="Q66" s="83"/>
      <c r="R66" s="83"/>
      <c r="S66" s="84"/>
      <c r="U66" s="46">
        <v>5</v>
      </c>
      <c r="V66" s="60" t="s">
        <v>30</v>
      </c>
    </row>
    <row r="67" spans="1:22" ht="15" thickBot="1" x14ac:dyDescent="0.4">
      <c r="A67" s="5" t="s">
        <v>75</v>
      </c>
      <c r="C67"/>
      <c r="D67" s="253"/>
      <c r="E67" s="77" t="s">
        <v>91</v>
      </c>
      <c r="F67" s="78" t="s">
        <v>92</v>
      </c>
      <c r="G67" s="79"/>
      <c r="H67" s="80"/>
      <c r="I67" s="81"/>
      <c r="J67" s="81"/>
      <c r="K67" s="81"/>
      <c r="L67" s="81"/>
      <c r="M67" s="83"/>
      <c r="N67" s="83"/>
      <c r="O67" s="83"/>
      <c r="P67" s="83"/>
      <c r="Q67" s="83"/>
      <c r="R67" s="83"/>
      <c r="S67" s="84"/>
    </row>
    <row r="68" spans="1:22" ht="15.75" customHeight="1" thickBot="1" x14ac:dyDescent="0.4">
      <c r="A68" s="5" t="s">
        <v>75</v>
      </c>
      <c r="C68"/>
      <c r="D68" s="243" t="s">
        <v>93</v>
      </c>
      <c r="E68" s="77" t="s">
        <v>94</v>
      </c>
      <c r="F68" s="78" t="s">
        <v>95</v>
      </c>
      <c r="G68" s="79"/>
      <c r="H68" s="80"/>
      <c r="I68" s="81"/>
      <c r="J68" s="81"/>
      <c r="K68" s="81"/>
      <c r="L68" s="81"/>
      <c r="M68" s="83"/>
      <c r="N68" s="83"/>
      <c r="O68" s="83"/>
      <c r="P68" s="83"/>
      <c r="Q68" s="83"/>
      <c r="R68" s="83"/>
      <c r="S68" s="84"/>
    </row>
    <row r="69" spans="1:22" ht="15" thickBot="1" x14ac:dyDescent="0.4">
      <c r="A69" s="5" t="s">
        <v>75</v>
      </c>
      <c r="C69"/>
      <c r="D69" s="244"/>
      <c r="E69" s="77" t="s">
        <v>96</v>
      </c>
      <c r="F69" s="78" t="s">
        <v>97</v>
      </c>
      <c r="G69" s="79"/>
      <c r="H69" s="80"/>
      <c r="I69" s="81"/>
      <c r="J69" s="81"/>
      <c r="K69" s="81"/>
      <c r="L69" s="81"/>
      <c r="M69" s="83"/>
      <c r="N69" s="83"/>
      <c r="O69" s="83"/>
      <c r="P69" s="83"/>
      <c r="Q69" s="83"/>
      <c r="R69" s="83"/>
      <c r="S69" s="84"/>
    </row>
    <row r="70" spans="1:22" ht="15" thickBot="1" x14ac:dyDescent="0.4">
      <c r="A70" s="5" t="s">
        <v>75</v>
      </c>
      <c r="C70"/>
      <c r="D70" s="245" t="s">
        <v>98</v>
      </c>
      <c r="E70" s="77" t="s">
        <v>99</v>
      </c>
      <c r="F70" s="78" t="s">
        <v>100</v>
      </c>
      <c r="G70" s="79"/>
      <c r="H70" s="80"/>
      <c r="I70" s="81"/>
      <c r="J70" s="81"/>
      <c r="K70" s="81"/>
      <c r="L70" s="81"/>
      <c r="M70" s="83"/>
      <c r="N70" s="83"/>
      <c r="O70" s="83"/>
      <c r="P70" s="83"/>
      <c r="Q70" s="83"/>
      <c r="R70" s="83"/>
      <c r="S70" s="84"/>
    </row>
    <row r="71" spans="1:22" ht="15" thickBot="1" x14ac:dyDescent="0.4">
      <c r="A71" s="5" t="s">
        <v>75</v>
      </c>
      <c r="C71"/>
      <c r="D71" s="246"/>
      <c r="E71" s="77" t="s">
        <v>101</v>
      </c>
      <c r="F71" s="78" t="s">
        <v>102</v>
      </c>
      <c r="G71" s="79"/>
      <c r="H71" s="80"/>
      <c r="I71" s="81"/>
      <c r="J71" s="81"/>
      <c r="K71" s="81"/>
      <c r="L71" s="81"/>
      <c r="M71" s="83"/>
      <c r="N71" s="83"/>
      <c r="O71" s="83"/>
      <c r="P71" s="83"/>
      <c r="Q71" s="83"/>
      <c r="R71" s="83"/>
      <c r="S71" s="84"/>
    </row>
    <row r="72" spans="1:22" ht="15" thickBot="1" x14ac:dyDescent="0.4">
      <c r="A72" s="5" t="s">
        <v>75</v>
      </c>
      <c r="C72"/>
      <c r="D72" s="245" t="s">
        <v>103</v>
      </c>
      <c r="E72" s="77" t="s">
        <v>104</v>
      </c>
      <c r="F72" s="78" t="s">
        <v>105</v>
      </c>
      <c r="G72" s="79"/>
      <c r="H72" s="80"/>
      <c r="I72" s="81"/>
      <c r="J72" s="81"/>
      <c r="K72" s="81"/>
      <c r="L72" s="81"/>
      <c r="M72" s="83"/>
      <c r="N72" s="83"/>
      <c r="O72" s="83"/>
      <c r="P72" s="83"/>
      <c r="Q72" s="83"/>
      <c r="R72" s="83"/>
      <c r="S72" s="84"/>
    </row>
    <row r="73" spans="1:22" ht="15" thickBot="1" x14ac:dyDescent="0.4">
      <c r="A73" s="5" t="s">
        <v>75</v>
      </c>
      <c r="C73"/>
      <c r="D73" s="246"/>
      <c r="E73" s="77" t="s">
        <v>106</v>
      </c>
      <c r="F73" s="78" t="s">
        <v>107</v>
      </c>
      <c r="G73" s="79"/>
      <c r="H73" s="80"/>
      <c r="I73" s="81"/>
      <c r="J73" s="81"/>
      <c r="K73" s="81"/>
      <c r="L73" s="81"/>
      <c r="M73" s="83"/>
      <c r="N73" s="83"/>
      <c r="O73" s="83"/>
      <c r="P73" s="83"/>
      <c r="Q73" s="83"/>
      <c r="R73" s="83"/>
      <c r="S73" s="84"/>
    </row>
    <row r="74" spans="1:22" ht="15" thickBot="1" x14ac:dyDescent="0.4">
      <c r="A74" s="5" t="s">
        <v>75</v>
      </c>
      <c r="C74"/>
      <c r="D74" s="245" t="s">
        <v>108</v>
      </c>
      <c r="E74" s="77" t="s">
        <v>109</v>
      </c>
      <c r="F74" s="78" t="s">
        <v>110</v>
      </c>
      <c r="G74" s="79"/>
      <c r="H74" s="80"/>
      <c r="I74" s="81"/>
      <c r="J74" s="81"/>
      <c r="K74" s="81"/>
      <c r="L74" s="81"/>
      <c r="M74" s="83"/>
      <c r="N74" s="83"/>
      <c r="O74" s="83"/>
      <c r="P74" s="83"/>
      <c r="Q74" s="83"/>
      <c r="R74" s="83"/>
      <c r="S74" s="84"/>
    </row>
    <row r="75" spans="1:22" ht="15" thickBot="1" x14ac:dyDescent="0.4">
      <c r="A75" s="5" t="s">
        <v>75</v>
      </c>
      <c r="C75"/>
      <c r="D75" s="244"/>
      <c r="E75" s="85" t="s">
        <v>111</v>
      </c>
      <c r="F75" s="86" t="s">
        <v>112</v>
      </c>
      <c r="G75" s="87"/>
      <c r="H75" s="88"/>
      <c r="I75" s="89"/>
      <c r="J75" s="89"/>
      <c r="K75" s="89"/>
      <c r="L75" s="89"/>
      <c r="M75" s="90"/>
      <c r="N75" s="90"/>
      <c r="O75" s="90"/>
      <c r="P75" s="90"/>
      <c r="Q75" s="90"/>
      <c r="R75" s="90"/>
      <c r="S75" s="91"/>
    </row>
    <row r="76" spans="1:22" ht="23.25" customHeight="1" thickBot="1" x14ac:dyDescent="0.4">
      <c r="A76" s="5" t="s">
        <v>75</v>
      </c>
      <c r="C76"/>
      <c r="D76" s="98" t="s">
        <v>113</v>
      </c>
      <c r="E76" s="98"/>
      <c r="F76" s="98" t="s">
        <v>114</v>
      </c>
      <c r="G76" s="99"/>
      <c r="H76" s="247" t="s">
        <v>115</v>
      </c>
      <c r="I76" s="248"/>
      <c r="J76" s="248"/>
      <c r="K76" s="248"/>
      <c r="L76" s="248"/>
      <c r="M76" s="248"/>
      <c r="N76" s="248"/>
      <c r="O76" s="249"/>
      <c r="P76" s="247" t="s">
        <v>116</v>
      </c>
      <c r="Q76" s="248"/>
      <c r="R76" s="248" t="s">
        <v>117</v>
      </c>
      <c r="S76" s="249"/>
    </row>
    <row r="77" spans="1:22" ht="12.75" customHeight="1" x14ac:dyDescent="0.35">
      <c r="A77" s="5" t="s">
        <v>75</v>
      </c>
      <c r="C77"/>
      <c r="D77" s="254" t="s">
        <v>118</v>
      </c>
      <c r="E77" s="255"/>
      <c r="F77" s="260" t="s">
        <v>119</v>
      </c>
      <c r="G77" s="255"/>
      <c r="H77" s="260" t="s">
        <v>120</v>
      </c>
      <c r="I77" s="264"/>
      <c r="J77" s="264"/>
      <c r="K77" s="264"/>
      <c r="L77" s="264"/>
      <c r="M77" s="264"/>
      <c r="N77" s="264"/>
      <c r="O77" s="255"/>
      <c r="P77" s="268" t="s">
        <v>11</v>
      </c>
      <c r="Q77" s="282"/>
      <c r="R77" s="268" t="s">
        <v>121</v>
      </c>
      <c r="S77" s="285"/>
    </row>
    <row r="78" spans="1:22" ht="12.75" customHeight="1" x14ac:dyDescent="0.35">
      <c r="A78" s="5" t="s">
        <v>75</v>
      </c>
      <c r="C78"/>
      <c r="D78" s="256"/>
      <c r="E78" s="257"/>
      <c r="F78" s="261"/>
      <c r="G78" s="257"/>
      <c r="H78" s="261"/>
      <c r="I78" s="265"/>
      <c r="J78" s="265"/>
      <c r="K78" s="265"/>
      <c r="L78" s="265"/>
      <c r="M78" s="265"/>
      <c r="N78" s="265"/>
      <c r="O78" s="257"/>
      <c r="P78" s="270"/>
      <c r="Q78" s="283"/>
      <c r="R78" s="270"/>
      <c r="S78" s="280"/>
    </row>
    <row r="79" spans="1:22" ht="12.75" customHeight="1" x14ac:dyDescent="0.35">
      <c r="A79" s="5" t="s">
        <v>75</v>
      </c>
      <c r="C79"/>
      <c r="D79" s="256"/>
      <c r="E79" s="257"/>
      <c r="F79" s="261"/>
      <c r="G79" s="257"/>
      <c r="H79" s="261"/>
      <c r="I79" s="265"/>
      <c r="J79" s="265"/>
      <c r="K79" s="265"/>
      <c r="L79" s="265"/>
      <c r="M79" s="265"/>
      <c r="N79" s="265"/>
      <c r="O79" s="257"/>
      <c r="P79" s="270"/>
      <c r="Q79" s="283"/>
      <c r="R79" s="270"/>
      <c r="S79" s="280"/>
    </row>
    <row r="80" spans="1:22" ht="12.75" customHeight="1" thickBot="1" x14ac:dyDescent="0.4">
      <c r="A80" s="5" t="s">
        <v>75</v>
      </c>
      <c r="C80"/>
      <c r="D80" s="258"/>
      <c r="E80" s="259"/>
      <c r="F80" s="262"/>
      <c r="G80" s="263"/>
      <c r="H80" s="266"/>
      <c r="I80" s="267"/>
      <c r="J80" s="267"/>
      <c r="K80" s="267"/>
      <c r="L80" s="267"/>
      <c r="M80" s="267"/>
      <c r="N80" s="267"/>
      <c r="O80" s="259"/>
      <c r="P80" s="272"/>
      <c r="Q80" s="284"/>
      <c r="R80" s="272"/>
      <c r="S80" s="286"/>
    </row>
    <row r="81" spans="1:19" ht="12.75" customHeight="1" x14ac:dyDescent="0.35">
      <c r="A81" s="5" t="s">
        <v>75</v>
      </c>
      <c r="C81"/>
      <c r="D81" s="254" t="s">
        <v>118</v>
      </c>
      <c r="E81" s="255"/>
      <c r="F81" s="260" t="s">
        <v>119</v>
      </c>
      <c r="G81" s="255"/>
      <c r="H81" s="260" t="s">
        <v>120</v>
      </c>
      <c r="I81" s="264"/>
      <c r="J81" s="264"/>
      <c r="K81" s="264"/>
      <c r="L81" s="264"/>
      <c r="M81" s="264"/>
      <c r="N81" s="264"/>
      <c r="O81" s="255"/>
      <c r="P81" s="268" t="s">
        <v>11</v>
      </c>
      <c r="Q81" s="269"/>
      <c r="R81" s="278" t="s">
        <v>121</v>
      </c>
      <c r="S81" s="279"/>
    </row>
    <row r="82" spans="1:19" ht="12.75" customHeight="1" x14ac:dyDescent="0.35">
      <c r="A82" s="5" t="s">
        <v>75</v>
      </c>
      <c r="C82"/>
      <c r="D82" s="256"/>
      <c r="E82" s="257"/>
      <c r="F82" s="261"/>
      <c r="G82" s="257"/>
      <c r="H82" s="261"/>
      <c r="I82" s="265"/>
      <c r="J82" s="265"/>
      <c r="K82" s="265"/>
      <c r="L82" s="265"/>
      <c r="M82" s="265"/>
      <c r="N82" s="265"/>
      <c r="O82" s="257"/>
      <c r="P82" s="270"/>
      <c r="Q82" s="271"/>
      <c r="R82" s="270"/>
      <c r="S82" s="280"/>
    </row>
    <row r="83" spans="1:19" ht="12.75" customHeight="1" x14ac:dyDescent="0.35">
      <c r="A83" s="5" t="s">
        <v>75</v>
      </c>
      <c r="C83"/>
      <c r="D83" s="256"/>
      <c r="E83" s="257"/>
      <c r="F83" s="261"/>
      <c r="G83" s="257"/>
      <c r="H83" s="261"/>
      <c r="I83" s="265"/>
      <c r="J83" s="265"/>
      <c r="K83" s="265"/>
      <c r="L83" s="265"/>
      <c r="M83" s="265"/>
      <c r="N83" s="265"/>
      <c r="O83" s="257"/>
      <c r="P83" s="270"/>
      <c r="Q83" s="271"/>
      <c r="R83" s="270"/>
      <c r="S83" s="280"/>
    </row>
    <row r="84" spans="1:19" ht="12.75" customHeight="1" thickBot="1" x14ac:dyDescent="0.4">
      <c r="A84" s="5" t="s">
        <v>75</v>
      </c>
      <c r="C84"/>
      <c r="D84" s="258"/>
      <c r="E84" s="259"/>
      <c r="F84" s="262"/>
      <c r="G84" s="263"/>
      <c r="H84" s="266"/>
      <c r="I84" s="267"/>
      <c r="J84" s="267"/>
      <c r="K84" s="267"/>
      <c r="L84" s="267"/>
      <c r="M84" s="267"/>
      <c r="N84" s="267"/>
      <c r="O84" s="259"/>
      <c r="P84" s="272"/>
      <c r="Q84" s="273"/>
      <c r="R84" s="272"/>
      <c r="S84" s="286"/>
    </row>
    <row r="85" spans="1:19" ht="12.75" customHeight="1" x14ac:dyDescent="0.35">
      <c r="A85" s="5" t="s">
        <v>75</v>
      </c>
      <c r="C85"/>
      <c r="D85" s="254" t="s">
        <v>118</v>
      </c>
      <c r="E85" s="255"/>
      <c r="F85" s="260" t="s">
        <v>119</v>
      </c>
      <c r="G85" s="255"/>
      <c r="H85" s="260" t="s">
        <v>120</v>
      </c>
      <c r="I85" s="264"/>
      <c r="J85" s="264"/>
      <c r="K85" s="264"/>
      <c r="L85" s="264"/>
      <c r="M85" s="264"/>
      <c r="N85" s="264"/>
      <c r="O85" s="255"/>
      <c r="P85" s="268" t="s">
        <v>11</v>
      </c>
      <c r="Q85" s="269"/>
      <c r="R85" s="278" t="s">
        <v>121</v>
      </c>
      <c r="S85" s="279"/>
    </row>
    <row r="86" spans="1:19" ht="12.75" customHeight="1" x14ac:dyDescent="0.35">
      <c r="A86" s="5" t="s">
        <v>75</v>
      </c>
      <c r="C86"/>
      <c r="D86" s="256"/>
      <c r="E86" s="257"/>
      <c r="F86" s="261"/>
      <c r="G86" s="257"/>
      <c r="H86" s="261"/>
      <c r="I86" s="265"/>
      <c r="J86" s="265"/>
      <c r="K86" s="265"/>
      <c r="L86" s="265"/>
      <c r="M86" s="265"/>
      <c r="N86" s="265"/>
      <c r="O86" s="257"/>
      <c r="P86" s="270"/>
      <c r="Q86" s="271"/>
      <c r="R86" s="270"/>
      <c r="S86" s="280"/>
    </row>
    <row r="87" spans="1:19" ht="12.75" customHeight="1" x14ac:dyDescent="0.35">
      <c r="A87" s="5" t="s">
        <v>75</v>
      </c>
      <c r="C87"/>
      <c r="D87" s="256"/>
      <c r="E87" s="257"/>
      <c r="F87" s="261"/>
      <c r="G87" s="257"/>
      <c r="H87" s="261"/>
      <c r="I87" s="265"/>
      <c r="J87" s="265"/>
      <c r="K87" s="265"/>
      <c r="L87" s="265"/>
      <c r="M87" s="265"/>
      <c r="N87" s="265"/>
      <c r="O87" s="257"/>
      <c r="P87" s="270"/>
      <c r="Q87" s="271"/>
      <c r="R87" s="270"/>
      <c r="S87" s="280"/>
    </row>
    <row r="88" spans="1:19" ht="12.75" customHeight="1" thickBot="1" x14ac:dyDescent="0.4">
      <c r="A88" s="5" t="s">
        <v>75</v>
      </c>
      <c r="C88"/>
      <c r="D88" s="274"/>
      <c r="E88" s="263"/>
      <c r="F88" s="262"/>
      <c r="G88" s="263"/>
      <c r="H88" s="262"/>
      <c r="I88" s="275"/>
      <c r="J88" s="275"/>
      <c r="K88" s="275"/>
      <c r="L88" s="275"/>
      <c r="M88" s="275"/>
      <c r="N88" s="275"/>
      <c r="O88" s="263"/>
      <c r="P88" s="276"/>
      <c r="Q88" s="277"/>
      <c r="R88" s="276"/>
      <c r="S88" s="281"/>
    </row>
    <row r="103" spans="1:22" ht="23" thickBot="1" x14ac:dyDescent="0.5">
      <c r="C103"/>
      <c r="D103" s="11">
        <f>D53+1</f>
        <v>2</v>
      </c>
      <c r="E103" s="11"/>
      <c r="F103" s="14"/>
      <c r="G103" s="14"/>
      <c r="H103" s="14"/>
      <c r="I103" s="14"/>
      <c r="J103" s="14"/>
      <c r="K103" s="14"/>
      <c r="L103" s="14"/>
      <c r="M103" s="14"/>
      <c r="N103" s="14"/>
      <c r="O103" s="14"/>
      <c r="P103" s="14"/>
      <c r="Q103" s="14"/>
      <c r="R103" s="14"/>
      <c r="S103" s="14"/>
    </row>
    <row r="104" spans="1:22" ht="30" customHeight="1" thickBot="1" x14ac:dyDescent="0.4">
      <c r="A104" s="17" t="s">
        <v>57</v>
      </c>
      <c r="C104"/>
      <c r="D104" s="295" t="e">
        <f ca="1">"Hoshin Implementation Plan "&amp;#REF!&amp;"   -   Must Win Battle / Strategy:   "&amp;$L$2</f>
        <v>#REF!</v>
      </c>
      <c r="E104" s="296"/>
      <c r="F104" s="296"/>
      <c r="G104" s="297"/>
      <c r="H104" s="298" t="e">
        <f ca="1">"Work Stream:   "&amp;OFFSET($E$7,2*(D103+1)-1,0)&amp;" - "&amp;OFFSET($F$7,2*(D103+1)-1,0)</f>
        <v>#NAME?</v>
      </c>
      <c r="I104" s="296"/>
      <c r="J104" s="296"/>
      <c r="K104" s="296"/>
      <c r="L104" s="296"/>
      <c r="M104" s="296"/>
      <c r="N104" s="296"/>
      <c r="O104" s="296"/>
      <c r="P104" s="296"/>
      <c r="Q104" s="296"/>
      <c r="R104" s="296"/>
      <c r="S104" s="299"/>
    </row>
    <row r="105" spans="1:22" ht="26" x14ac:dyDescent="0.35">
      <c r="A105" s="17" t="s">
        <v>57</v>
      </c>
      <c r="C105"/>
      <c r="D105" s="240" t="s">
        <v>1</v>
      </c>
      <c r="E105" s="241"/>
      <c r="F105" s="241"/>
      <c r="G105" s="291"/>
      <c r="H105" s="292" t="s">
        <v>2</v>
      </c>
      <c r="I105" s="241"/>
      <c r="J105" s="291"/>
      <c r="K105" s="292" t="s">
        <v>3</v>
      </c>
      <c r="L105" s="241"/>
      <c r="M105" s="241"/>
      <c r="N105" s="241" t="s">
        <v>58</v>
      </c>
      <c r="O105" s="241"/>
      <c r="P105" s="291"/>
      <c r="Q105" s="293" t="s">
        <v>13</v>
      </c>
      <c r="R105" s="293"/>
      <c r="S105" s="294"/>
    </row>
    <row r="106" spans="1:22" ht="26.25" customHeight="1" x14ac:dyDescent="0.35">
      <c r="A106" s="17" t="s">
        <v>57</v>
      </c>
      <c r="C106"/>
      <c r="D106" s="229" t="e">
        <f>$D$4</f>
        <v>#REF!</v>
      </c>
      <c r="E106" s="230"/>
      <c r="F106" s="230"/>
      <c r="G106" s="230"/>
      <c r="H106" s="231" t="e">
        <f>$F$4</f>
        <v>#REF!</v>
      </c>
      <c r="I106" s="230"/>
      <c r="J106" s="232"/>
      <c r="K106" s="233" t="str">
        <f ca="1">OFFSET($G$7,2*(D103+1)-1,0)</f>
        <v>B</v>
      </c>
      <c r="L106" s="234"/>
      <c r="M106" s="235"/>
      <c r="N106" s="236" t="s">
        <v>6</v>
      </c>
      <c r="O106" s="237"/>
      <c r="P106" s="238"/>
      <c r="Q106" s="236" t="s">
        <v>6</v>
      </c>
      <c r="R106" s="237"/>
      <c r="S106" s="239"/>
    </row>
    <row r="107" spans="1:22" ht="26.5" thickBot="1" x14ac:dyDescent="0.4">
      <c r="A107" s="17" t="s">
        <v>57</v>
      </c>
      <c r="C107"/>
      <c r="D107" s="240" t="s">
        <v>7</v>
      </c>
      <c r="E107" s="241"/>
      <c r="F107" s="241"/>
      <c r="G107" s="241"/>
      <c r="H107" s="241"/>
      <c r="I107" s="241"/>
      <c r="J107" s="241"/>
      <c r="K107" s="241"/>
      <c r="L107" s="241"/>
      <c r="M107" s="241"/>
      <c r="N107" s="241"/>
      <c r="O107" s="241"/>
      <c r="P107" s="241"/>
      <c r="Q107" s="241"/>
      <c r="R107" s="241"/>
      <c r="S107" s="242"/>
    </row>
    <row r="108" spans="1:22" ht="26" x14ac:dyDescent="0.35">
      <c r="A108" s="17" t="s">
        <v>57</v>
      </c>
      <c r="C108"/>
      <c r="D108" s="224" t="s">
        <v>59</v>
      </c>
      <c r="E108" s="225"/>
      <c r="F108" s="225"/>
      <c r="G108" s="225"/>
      <c r="H108" s="225"/>
      <c r="I108" s="225"/>
      <c r="J108" s="225"/>
      <c r="K108" s="225"/>
      <c r="L108" s="225"/>
      <c r="M108" s="225"/>
      <c r="N108" s="225"/>
      <c r="O108" s="225"/>
      <c r="P108" s="225"/>
      <c r="Q108" s="225"/>
      <c r="R108" s="225"/>
      <c r="S108" s="226"/>
      <c r="U108" s="391" t="s">
        <v>16</v>
      </c>
      <c r="V108" s="392"/>
    </row>
    <row r="109" spans="1:22" ht="27" customHeight="1" thickBot="1" x14ac:dyDescent="0.4">
      <c r="A109" s="17" t="s">
        <v>57</v>
      </c>
      <c r="C109"/>
      <c r="D109" s="92" t="s">
        <v>60</v>
      </c>
      <c r="E109" s="227" t="s">
        <v>61</v>
      </c>
      <c r="F109" s="228"/>
      <c r="G109" s="93" t="s">
        <v>11</v>
      </c>
      <c r="H109" s="94" t="s">
        <v>62</v>
      </c>
      <c r="I109" s="94" t="s">
        <v>63</v>
      </c>
      <c r="J109" s="94" t="s">
        <v>64</v>
      </c>
      <c r="K109" s="94" t="s">
        <v>65</v>
      </c>
      <c r="L109" s="94" t="s">
        <v>66</v>
      </c>
      <c r="M109" s="94" t="s">
        <v>67</v>
      </c>
      <c r="N109" s="94" t="s">
        <v>68</v>
      </c>
      <c r="O109" s="94" t="s">
        <v>69</v>
      </c>
      <c r="P109" s="94" t="s">
        <v>70</v>
      </c>
      <c r="Q109" s="94" t="s">
        <v>71</v>
      </c>
      <c r="R109" s="94" t="s">
        <v>72</v>
      </c>
      <c r="S109" s="95" t="s">
        <v>73</v>
      </c>
      <c r="U109" s="287" t="s">
        <v>74</v>
      </c>
      <c r="V109" s="288"/>
    </row>
    <row r="110" spans="1:22" ht="15.75" customHeight="1" thickBot="1" x14ac:dyDescent="0.4">
      <c r="A110" s="8" t="s">
        <v>75</v>
      </c>
      <c r="C110"/>
      <c r="D110" s="250" t="s">
        <v>76</v>
      </c>
      <c r="E110" s="96" t="s">
        <v>77</v>
      </c>
      <c r="F110" s="97" t="s">
        <v>78</v>
      </c>
      <c r="G110" s="65"/>
      <c r="H110" s="66"/>
      <c r="I110" s="67"/>
      <c r="J110" s="67"/>
      <c r="K110" s="67"/>
      <c r="L110" s="67"/>
      <c r="M110" s="68"/>
      <c r="N110" s="68"/>
      <c r="O110" s="68"/>
      <c r="P110" s="68"/>
      <c r="Q110" s="68"/>
      <c r="R110" s="68"/>
      <c r="S110" s="69"/>
      <c r="U110" s="289"/>
      <c r="V110" s="290"/>
    </row>
    <row r="111" spans="1:22" ht="15" thickBot="1" x14ac:dyDescent="0.4">
      <c r="A111" s="8" t="s">
        <v>75</v>
      </c>
      <c r="C111"/>
      <c r="D111" s="251"/>
      <c r="E111" s="70" t="s">
        <v>79</v>
      </c>
      <c r="F111" s="71" t="s">
        <v>80</v>
      </c>
      <c r="G111" s="72"/>
      <c r="H111" s="73"/>
      <c r="I111" s="74"/>
      <c r="J111" s="74"/>
      <c r="K111" s="74"/>
      <c r="L111" s="74"/>
      <c r="M111" s="75"/>
      <c r="N111" s="75"/>
      <c r="O111" s="75"/>
      <c r="P111" s="75"/>
      <c r="Q111" s="75"/>
      <c r="R111" s="75"/>
      <c r="S111" s="76"/>
      <c r="U111" s="199">
        <v>0</v>
      </c>
      <c r="V111" s="200" t="s">
        <v>21</v>
      </c>
    </row>
    <row r="112" spans="1:22" ht="15" thickBot="1" x14ac:dyDescent="0.4">
      <c r="A112" s="8" t="s">
        <v>75</v>
      </c>
      <c r="C112"/>
      <c r="D112" s="251"/>
      <c r="E112" s="77" t="s">
        <v>81</v>
      </c>
      <c r="F112" s="78" t="s">
        <v>82</v>
      </c>
      <c r="G112" s="79"/>
      <c r="H112" s="80"/>
      <c r="I112" s="81"/>
      <c r="J112" s="81"/>
      <c r="K112" s="81"/>
      <c r="L112" s="81"/>
      <c r="M112" s="82"/>
      <c r="N112" s="83"/>
      <c r="O112" s="83"/>
      <c r="P112" s="83"/>
      <c r="Q112" s="83"/>
      <c r="R112" s="83"/>
      <c r="S112" s="84"/>
      <c r="U112" s="33">
        <v>1</v>
      </c>
      <c r="V112" s="201" t="s">
        <v>22</v>
      </c>
    </row>
    <row r="113" spans="1:22" ht="15" thickBot="1" x14ac:dyDescent="0.4">
      <c r="A113" s="8" t="s">
        <v>75</v>
      </c>
      <c r="C113"/>
      <c r="D113" s="251"/>
      <c r="E113" s="77" t="s">
        <v>83</v>
      </c>
      <c r="F113" s="78" t="s">
        <v>84</v>
      </c>
      <c r="G113" s="79"/>
      <c r="H113" s="80"/>
      <c r="I113" s="81"/>
      <c r="J113" s="81"/>
      <c r="K113" s="81"/>
      <c r="L113" s="81"/>
      <c r="M113" s="83"/>
      <c r="N113" s="83"/>
      <c r="O113" s="83"/>
      <c r="P113" s="83"/>
      <c r="Q113" s="83"/>
      <c r="R113" s="83"/>
      <c r="S113" s="84"/>
      <c r="U113" s="41">
        <v>2</v>
      </c>
      <c r="V113" s="202" t="s">
        <v>25</v>
      </c>
    </row>
    <row r="114" spans="1:22" ht="15" thickBot="1" x14ac:dyDescent="0.4">
      <c r="A114" s="5" t="s">
        <v>75</v>
      </c>
      <c r="C114"/>
      <c r="D114" s="251"/>
      <c r="E114" s="77" t="s">
        <v>85</v>
      </c>
      <c r="F114" s="78" t="s">
        <v>86</v>
      </c>
      <c r="G114" s="79"/>
      <c r="H114" s="80"/>
      <c r="I114" s="81"/>
      <c r="J114" s="81"/>
      <c r="K114" s="81"/>
      <c r="L114" s="81"/>
      <c r="M114" s="83"/>
      <c r="N114" s="83"/>
      <c r="O114" s="83"/>
      <c r="P114" s="83"/>
      <c r="Q114" s="83"/>
      <c r="R114" s="83"/>
      <c r="S114" s="84"/>
      <c r="U114" s="38">
        <v>3</v>
      </c>
      <c r="V114" s="203" t="s">
        <v>26</v>
      </c>
    </row>
    <row r="115" spans="1:22" ht="15" thickBot="1" x14ac:dyDescent="0.4">
      <c r="A115" s="5" t="s">
        <v>75</v>
      </c>
      <c r="C115"/>
      <c r="D115" s="252"/>
      <c r="E115" s="77" t="s">
        <v>87</v>
      </c>
      <c r="F115" s="78" t="s">
        <v>88</v>
      </c>
      <c r="G115" s="79"/>
      <c r="H115" s="80"/>
      <c r="I115" s="81"/>
      <c r="J115" s="81"/>
      <c r="K115" s="81"/>
      <c r="L115" s="81"/>
      <c r="M115" s="83"/>
      <c r="N115" s="83"/>
      <c r="O115" s="83"/>
      <c r="P115" s="83"/>
      <c r="Q115" s="83"/>
      <c r="R115" s="83"/>
      <c r="S115" s="84"/>
      <c r="U115" s="35">
        <v>4</v>
      </c>
      <c r="V115" s="204" t="s">
        <v>29</v>
      </c>
    </row>
    <row r="116" spans="1:22" ht="15" thickBot="1" x14ac:dyDescent="0.4">
      <c r="A116" s="5" t="s">
        <v>75</v>
      </c>
      <c r="C116"/>
      <c r="D116" s="253" t="s">
        <v>37</v>
      </c>
      <c r="E116" s="77" t="s">
        <v>89</v>
      </c>
      <c r="F116" s="78" t="s">
        <v>90</v>
      </c>
      <c r="G116" s="79"/>
      <c r="H116" s="80"/>
      <c r="I116" s="81"/>
      <c r="J116" s="81"/>
      <c r="K116" s="81"/>
      <c r="L116" s="81"/>
      <c r="M116" s="83"/>
      <c r="N116" s="83"/>
      <c r="O116" s="83"/>
      <c r="P116" s="83"/>
      <c r="Q116" s="83"/>
      <c r="R116" s="83"/>
      <c r="S116" s="84"/>
      <c r="U116" s="46">
        <v>5</v>
      </c>
      <c r="V116" s="60" t="s">
        <v>30</v>
      </c>
    </row>
    <row r="117" spans="1:22" ht="15" thickBot="1" x14ac:dyDescent="0.4">
      <c r="A117" s="5" t="s">
        <v>75</v>
      </c>
      <c r="C117"/>
      <c r="D117" s="253"/>
      <c r="E117" s="77" t="s">
        <v>91</v>
      </c>
      <c r="F117" s="78" t="s">
        <v>92</v>
      </c>
      <c r="G117" s="79"/>
      <c r="H117" s="80"/>
      <c r="I117" s="81"/>
      <c r="J117" s="81"/>
      <c r="K117" s="81"/>
      <c r="L117" s="81"/>
      <c r="M117" s="83"/>
      <c r="N117" s="83"/>
      <c r="O117" s="83"/>
      <c r="P117" s="83"/>
      <c r="Q117" s="83"/>
      <c r="R117" s="83"/>
      <c r="S117" s="84"/>
    </row>
    <row r="118" spans="1:22" ht="15.75" customHeight="1" thickBot="1" x14ac:dyDescent="0.4">
      <c r="A118" s="5" t="s">
        <v>75</v>
      </c>
      <c r="C118"/>
      <c r="D118" s="243" t="s">
        <v>93</v>
      </c>
      <c r="E118" s="77" t="s">
        <v>94</v>
      </c>
      <c r="F118" s="78" t="s">
        <v>95</v>
      </c>
      <c r="G118" s="79"/>
      <c r="H118" s="80"/>
      <c r="I118" s="81"/>
      <c r="J118" s="81"/>
      <c r="K118" s="81"/>
      <c r="L118" s="81"/>
      <c r="M118" s="83"/>
      <c r="N118" s="83"/>
      <c r="O118" s="83"/>
      <c r="P118" s="83"/>
      <c r="Q118" s="83"/>
      <c r="R118" s="83"/>
      <c r="S118" s="84"/>
    </row>
    <row r="119" spans="1:22" ht="15" thickBot="1" x14ac:dyDescent="0.4">
      <c r="A119" s="5" t="s">
        <v>75</v>
      </c>
      <c r="C119"/>
      <c r="D119" s="244"/>
      <c r="E119" s="77" t="s">
        <v>96</v>
      </c>
      <c r="F119" s="78" t="s">
        <v>97</v>
      </c>
      <c r="G119" s="79"/>
      <c r="H119" s="80"/>
      <c r="I119" s="81"/>
      <c r="J119" s="81"/>
      <c r="K119" s="81"/>
      <c r="L119" s="81"/>
      <c r="M119" s="83"/>
      <c r="N119" s="83"/>
      <c r="O119" s="83"/>
      <c r="P119" s="83"/>
      <c r="Q119" s="83"/>
      <c r="R119" s="83"/>
      <c r="S119" s="84"/>
    </row>
    <row r="120" spans="1:22" ht="15" thickBot="1" x14ac:dyDescent="0.4">
      <c r="A120" s="5" t="s">
        <v>75</v>
      </c>
      <c r="C120"/>
      <c r="D120" s="245" t="s">
        <v>98</v>
      </c>
      <c r="E120" s="77" t="s">
        <v>99</v>
      </c>
      <c r="F120" s="78" t="s">
        <v>100</v>
      </c>
      <c r="G120" s="79"/>
      <c r="H120" s="80"/>
      <c r="I120" s="81"/>
      <c r="J120" s="81"/>
      <c r="K120" s="81"/>
      <c r="L120" s="81"/>
      <c r="M120" s="83"/>
      <c r="N120" s="83"/>
      <c r="O120" s="83"/>
      <c r="P120" s="83"/>
      <c r="Q120" s="83"/>
      <c r="R120" s="83"/>
      <c r="S120" s="84"/>
    </row>
    <row r="121" spans="1:22" ht="15" thickBot="1" x14ac:dyDescent="0.4">
      <c r="A121" s="5" t="s">
        <v>75</v>
      </c>
      <c r="C121"/>
      <c r="D121" s="246"/>
      <c r="E121" s="77" t="s">
        <v>101</v>
      </c>
      <c r="F121" s="78" t="s">
        <v>102</v>
      </c>
      <c r="G121" s="79"/>
      <c r="H121" s="80"/>
      <c r="I121" s="81"/>
      <c r="J121" s="81"/>
      <c r="K121" s="81"/>
      <c r="L121" s="81"/>
      <c r="M121" s="83"/>
      <c r="N121" s="83"/>
      <c r="O121" s="83"/>
      <c r="P121" s="83"/>
      <c r="Q121" s="83"/>
      <c r="R121" s="83"/>
      <c r="S121" s="84"/>
    </row>
    <row r="122" spans="1:22" ht="15" thickBot="1" x14ac:dyDescent="0.4">
      <c r="A122" s="5" t="s">
        <v>75</v>
      </c>
      <c r="C122"/>
      <c r="D122" s="245" t="s">
        <v>103</v>
      </c>
      <c r="E122" s="77" t="s">
        <v>104</v>
      </c>
      <c r="F122" s="78" t="s">
        <v>105</v>
      </c>
      <c r="G122" s="79"/>
      <c r="H122" s="80"/>
      <c r="I122" s="81"/>
      <c r="J122" s="81"/>
      <c r="K122" s="81"/>
      <c r="L122" s="81"/>
      <c r="M122" s="83"/>
      <c r="N122" s="83"/>
      <c r="O122" s="83"/>
      <c r="P122" s="83"/>
      <c r="Q122" s="83"/>
      <c r="R122" s="83"/>
      <c r="S122" s="84"/>
    </row>
    <row r="123" spans="1:22" ht="15" thickBot="1" x14ac:dyDescent="0.4">
      <c r="A123" s="5" t="s">
        <v>75</v>
      </c>
      <c r="C123"/>
      <c r="D123" s="246"/>
      <c r="E123" s="77" t="s">
        <v>106</v>
      </c>
      <c r="F123" s="78" t="s">
        <v>107</v>
      </c>
      <c r="G123" s="79"/>
      <c r="H123" s="80"/>
      <c r="I123" s="81"/>
      <c r="J123" s="81"/>
      <c r="K123" s="81"/>
      <c r="L123" s="81"/>
      <c r="M123" s="83"/>
      <c r="N123" s="83"/>
      <c r="O123" s="83"/>
      <c r="P123" s="83"/>
      <c r="Q123" s="83"/>
      <c r="R123" s="83"/>
      <c r="S123" s="84"/>
    </row>
    <row r="124" spans="1:22" ht="15" thickBot="1" x14ac:dyDescent="0.4">
      <c r="A124" s="5" t="s">
        <v>75</v>
      </c>
      <c r="C124"/>
      <c r="D124" s="245" t="s">
        <v>108</v>
      </c>
      <c r="E124" s="77" t="s">
        <v>109</v>
      </c>
      <c r="F124" s="78" t="s">
        <v>110</v>
      </c>
      <c r="G124" s="79"/>
      <c r="H124" s="80"/>
      <c r="I124" s="81"/>
      <c r="J124" s="81"/>
      <c r="K124" s="81"/>
      <c r="L124" s="81"/>
      <c r="M124" s="83"/>
      <c r="N124" s="83"/>
      <c r="O124" s="83"/>
      <c r="P124" s="83"/>
      <c r="Q124" s="83"/>
      <c r="R124" s="83"/>
      <c r="S124" s="84"/>
    </row>
    <row r="125" spans="1:22" ht="15" thickBot="1" x14ac:dyDescent="0.4">
      <c r="A125" s="5" t="s">
        <v>75</v>
      </c>
      <c r="C125"/>
      <c r="D125" s="244"/>
      <c r="E125" s="85" t="s">
        <v>111</v>
      </c>
      <c r="F125" s="86" t="s">
        <v>112</v>
      </c>
      <c r="G125" s="87"/>
      <c r="H125" s="88"/>
      <c r="I125" s="89"/>
      <c r="J125" s="89"/>
      <c r="K125" s="89"/>
      <c r="L125" s="89"/>
      <c r="M125" s="90"/>
      <c r="N125" s="90"/>
      <c r="O125" s="90"/>
      <c r="P125" s="90"/>
      <c r="Q125" s="90"/>
      <c r="R125" s="90"/>
      <c r="S125" s="91"/>
    </row>
    <row r="126" spans="1:22" ht="23.25" customHeight="1" thickBot="1" x14ac:dyDescent="0.4">
      <c r="A126" s="5" t="s">
        <v>75</v>
      </c>
      <c r="C126"/>
      <c r="D126" s="98" t="s">
        <v>113</v>
      </c>
      <c r="E126" s="98"/>
      <c r="F126" s="98" t="s">
        <v>114</v>
      </c>
      <c r="G126" s="99"/>
      <c r="H126" s="247" t="s">
        <v>115</v>
      </c>
      <c r="I126" s="248"/>
      <c r="J126" s="248"/>
      <c r="K126" s="248"/>
      <c r="L126" s="248"/>
      <c r="M126" s="248"/>
      <c r="N126" s="248"/>
      <c r="O126" s="249"/>
      <c r="P126" s="247" t="s">
        <v>116</v>
      </c>
      <c r="Q126" s="248"/>
      <c r="R126" s="248" t="s">
        <v>117</v>
      </c>
      <c r="S126" s="249"/>
    </row>
    <row r="127" spans="1:22" ht="12.75" customHeight="1" x14ac:dyDescent="0.35">
      <c r="A127" s="5" t="s">
        <v>75</v>
      </c>
      <c r="C127"/>
      <c r="D127" s="254" t="s">
        <v>118</v>
      </c>
      <c r="E127" s="255"/>
      <c r="F127" s="260" t="s">
        <v>119</v>
      </c>
      <c r="G127" s="255"/>
      <c r="H127" s="260" t="s">
        <v>120</v>
      </c>
      <c r="I127" s="264"/>
      <c r="J127" s="264"/>
      <c r="K127" s="264"/>
      <c r="L127" s="264"/>
      <c r="M127" s="264"/>
      <c r="N127" s="264"/>
      <c r="O127" s="255"/>
      <c r="P127" s="268" t="s">
        <v>11</v>
      </c>
      <c r="Q127" s="282"/>
      <c r="R127" s="268" t="s">
        <v>121</v>
      </c>
      <c r="S127" s="285"/>
    </row>
    <row r="128" spans="1:22" ht="12.75" customHeight="1" x14ac:dyDescent="0.35">
      <c r="A128" s="5" t="s">
        <v>75</v>
      </c>
      <c r="C128"/>
      <c r="D128" s="256"/>
      <c r="E128" s="257"/>
      <c r="F128" s="261"/>
      <c r="G128" s="257"/>
      <c r="H128" s="261"/>
      <c r="I128" s="265"/>
      <c r="J128" s="265"/>
      <c r="K128" s="265"/>
      <c r="L128" s="265"/>
      <c r="M128" s="265"/>
      <c r="N128" s="265"/>
      <c r="O128" s="257"/>
      <c r="P128" s="270"/>
      <c r="Q128" s="283"/>
      <c r="R128" s="270"/>
      <c r="S128" s="280"/>
    </row>
    <row r="129" spans="1:19" ht="12.75" customHeight="1" x14ac:dyDescent="0.35">
      <c r="A129" s="5" t="s">
        <v>75</v>
      </c>
      <c r="C129"/>
      <c r="D129" s="256"/>
      <c r="E129" s="257"/>
      <c r="F129" s="261"/>
      <c r="G129" s="257"/>
      <c r="H129" s="261"/>
      <c r="I129" s="265"/>
      <c r="J129" s="265"/>
      <c r="K129" s="265"/>
      <c r="L129" s="265"/>
      <c r="M129" s="265"/>
      <c r="N129" s="265"/>
      <c r="O129" s="257"/>
      <c r="P129" s="270"/>
      <c r="Q129" s="283"/>
      <c r="R129" s="270"/>
      <c r="S129" s="280"/>
    </row>
    <row r="130" spans="1:19" ht="12.75" customHeight="1" thickBot="1" x14ac:dyDescent="0.4">
      <c r="A130" s="5" t="s">
        <v>75</v>
      </c>
      <c r="C130"/>
      <c r="D130" s="258"/>
      <c r="E130" s="259"/>
      <c r="F130" s="262"/>
      <c r="G130" s="263"/>
      <c r="H130" s="266"/>
      <c r="I130" s="267"/>
      <c r="J130" s="267"/>
      <c r="K130" s="267"/>
      <c r="L130" s="267"/>
      <c r="M130" s="267"/>
      <c r="N130" s="267"/>
      <c r="O130" s="259"/>
      <c r="P130" s="272"/>
      <c r="Q130" s="284"/>
      <c r="R130" s="272"/>
      <c r="S130" s="286"/>
    </row>
    <row r="131" spans="1:19" ht="12.75" customHeight="1" x14ac:dyDescent="0.35">
      <c r="A131" s="5" t="s">
        <v>75</v>
      </c>
      <c r="C131"/>
      <c r="D131" s="254" t="s">
        <v>118</v>
      </c>
      <c r="E131" s="255"/>
      <c r="F131" s="260" t="s">
        <v>119</v>
      </c>
      <c r="G131" s="255"/>
      <c r="H131" s="260" t="s">
        <v>120</v>
      </c>
      <c r="I131" s="264"/>
      <c r="J131" s="264"/>
      <c r="K131" s="264"/>
      <c r="L131" s="264"/>
      <c r="M131" s="264"/>
      <c r="N131" s="264"/>
      <c r="O131" s="255"/>
      <c r="P131" s="268" t="s">
        <v>11</v>
      </c>
      <c r="Q131" s="269"/>
      <c r="R131" s="278" t="s">
        <v>121</v>
      </c>
      <c r="S131" s="279"/>
    </row>
    <row r="132" spans="1:19" ht="12.75" customHeight="1" x14ac:dyDescent="0.35">
      <c r="A132" s="5" t="s">
        <v>75</v>
      </c>
      <c r="C132"/>
      <c r="D132" s="256"/>
      <c r="E132" s="257"/>
      <c r="F132" s="261"/>
      <c r="G132" s="257"/>
      <c r="H132" s="261"/>
      <c r="I132" s="265"/>
      <c r="J132" s="265"/>
      <c r="K132" s="265"/>
      <c r="L132" s="265"/>
      <c r="M132" s="265"/>
      <c r="N132" s="265"/>
      <c r="O132" s="257"/>
      <c r="P132" s="270"/>
      <c r="Q132" s="271"/>
      <c r="R132" s="270"/>
      <c r="S132" s="280"/>
    </row>
    <row r="133" spans="1:19" ht="12.75" customHeight="1" x14ac:dyDescent="0.35">
      <c r="A133" s="5" t="s">
        <v>75</v>
      </c>
      <c r="C133"/>
      <c r="D133" s="256"/>
      <c r="E133" s="257"/>
      <c r="F133" s="261"/>
      <c r="G133" s="257"/>
      <c r="H133" s="261"/>
      <c r="I133" s="265"/>
      <c r="J133" s="265"/>
      <c r="K133" s="265"/>
      <c r="L133" s="265"/>
      <c r="M133" s="265"/>
      <c r="N133" s="265"/>
      <c r="O133" s="257"/>
      <c r="P133" s="270"/>
      <c r="Q133" s="271"/>
      <c r="R133" s="270"/>
      <c r="S133" s="280"/>
    </row>
    <row r="134" spans="1:19" ht="12.75" customHeight="1" thickBot="1" x14ac:dyDescent="0.4">
      <c r="A134" s="5" t="s">
        <v>75</v>
      </c>
      <c r="C134"/>
      <c r="D134" s="258"/>
      <c r="E134" s="259"/>
      <c r="F134" s="262"/>
      <c r="G134" s="263"/>
      <c r="H134" s="266"/>
      <c r="I134" s="267"/>
      <c r="J134" s="267"/>
      <c r="K134" s="267"/>
      <c r="L134" s="267"/>
      <c r="M134" s="267"/>
      <c r="N134" s="267"/>
      <c r="O134" s="259"/>
      <c r="P134" s="272"/>
      <c r="Q134" s="273"/>
      <c r="R134" s="272"/>
      <c r="S134" s="286"/>
    </row>
    <row r="135" spans="1:19" ht="12.75" customHeight="1" x14ac:dyDescent="0.35">
      <c r="A135" s="5" t="s">
        <v>75</v>
      </c>
      <c r="C135"/>
      <c r="D135" s="254" t="s">
        <v>118</v>
      </c>
      <c r="E135" s="255"/>
      <c r="F135" s="260" t="s">
        <v>119</v>
      </c>
      <c r="G135" s="255"/>
      <c r="H135" s="260" t="s">
        <v>120</v>
      </c>
      <c r="I135" s="264"/>
      <c r="J135" s="264"/>
      <c r="K135" s="264"/>
      <c r="L135" s="264"/>
      <c r="M135" s="264"/>
      <c r="N135" s="264"/>
      <c r="O135" s="255"/>
      <c r="P135" s="268" t="s">
        <v>11</v>
      </c>
      <c r="Q135" s="269"/>
      <c r="R135" s="278" t="s">
        <v>121</v>
      </c>
      <c r="S135" s="279"/>
    </row>
    <row r="136" spans="1:19" ht="12.75" customHeight="1" x14ac:dyDescent="0.35">
      <c r="A136" s="5" t="s">
        <v>75</v>
      </c>
      <c r="C136"/>
      <c r="D136" s="256"/>
      <c r="E136" s="257"/>
      <c r="F136" s="261"/>
      <c r="G136" s="257"/>
      <c r="H136" s="261"/>
      <c r="I136" s="265"/>
      <c r="J136" s="265"/>
      <c r="K136" s="265"/>
      <c r="L136" s="265"/>
      <c r="M136" s="265"/>
      <c r="N136" s="265"/>
      <c r="O136" s="257"/>
      <c r="P136" s="270"/>
      <c r="Q136" s="271"/>
      <c r="R136" s="270"/>
      <c r="S136" s="280"/>
    </row>
    <row r="137" spans="1:19" ht="12.75" customHeight="1" x14ac:dyDescent="0.35">
      <c r="A137" s="5" t="s">
        <v>75</v>
      </c>
      <c r="C137"/>
      <c r="D137" s="256"/>
      <c r="E137" s="257"/>
      <c r="F137" s="261"/>
      <c r="G137" s="257"/>
      <c r="H137" s="261"/>
      <c r="I137" s="265"/>
      <c r="J137" s="265"/>
      <c r="K137" s="265"/>
      <c r="L137" s="265"/>
      <c r="M137" s="265"/>
      <c r="N137" s="265"/>
      <c r="O137" s="257"/>
      <c r="P137" s="270"/>
      <c r="Q137" s="271"/>
      <c r="R137" s="270"/>
      <c r="S137" s="280"/>
    </row>
    <row r="138" spans="1:19" ht="12.75" customHeight="1" thickBot="1" x14ac:dyDescent="0.4">
      <c r="A138" s="5" t="s">
        <v>75</v>
      </c>
      <c r="C138"/>
      <c r="D138" s="274"/>
      <c r="E138" s="263"/>
      <c r="F138" s="262"/>
      <c r="G138" s="263"/>
      <c r="H138" s="262"/>
      <c r="I138" s="275"/>
      <c r="J138" s="275"/>
      <c r="K138" s="275"/>
      <c r="L138" s="275"/>
      <c r="M138" s="275"/>
      <c r="N138" s="275"/>
      <c r="O138" s="263"/>
      <c r="P138" s="276"/>
      <c r="Q138" s="277"/>
      <c r="R138" s="276"/>
      <c r="S138" s="281"/>
    </row>
    <row r="153" spans="1:22" ht="23" thickBot="1" x14ac:dyDescent="0.5">
      <c r="C153"/>
      <c r="D153" s="11">
        <f>D103+1</f>
        <v>3</v>
      </c>
      <c r="E153" s="11"/>
      <c r="F153" s="14"/>
      <c r="G153" s="14"/>
      <c r="H153" s="14"/>
      <c r="I153" s="14"/>
      <c r="J153" s="14"/>
      <c r="K153" s="14"/>
      <c r="L153" s="14"/>
      <c r="M153" s="14"/>
      <c r="N153" s="14"/>
      <c r="O153" s="14"/>
      <c r="P153" s="14"/>
      <c r="Q153" s="14"/>
      <c r="R153" s="14"/>
      <c r="S153" s="14"/>
    </row>
    <row r="154" spans="1:22" ht="30" customHeight="1" thickBot="1" x14ac:dyDescent="0.4">
      <c r="A154" s="17" t="s">
        <v>57</v>
      </c>
      <c r="C154"/>
      <c r="D154" s="295" t="e">
        <f ca="1">"Hoshin Implementation Plan "&amp;#REF!&amp;"   -   Must Win Battle / Strategy:   "&amp;$L$2</f>
        <v>#REF!</v>
      </c>
      <c r="E154" s="296"/>
      <c r="F154" s="296"/>
      <c r="G154" s="297"/>
      <c r="H154" s="298" t="e">
        <f ca="1">"Work Stream:   "&amp;OFFSET($E$7,2*(D153+1)-1,0)&amp;" - "&amp;OFFSET($F$7,2*(D153+1)-1,0)</f>
        <v>#NAME?</v>
      </c>
      <c r="I154" s="296"/>
      <c r="J154" s="296"/>
      <c r="K154" s="296"/>
      <c r="L154" s="296"/>
      <c r="M154" s="296"/>
      <c r="N154" s="296"/>
      <c r="O154" s="296"/>
      <c r="P154" s="296"/>
      <c r="Q154" s="296"/>
      <c r="R154" s="296"/>
      <c r="S154" s="299"/>
    </row>
    <row r="155" spans="1:22" ht="26" x14ac:dyDescent="0.35">
      <c r="A155" s="17" t="s">
        <v>57</v>
      </c>
      <c r="C155"/>
      <c r="D155" s="240" t="s">
        <v>1</v>
      </c>
      <c r="E155" s="241"/>
      <c r="F155" s="241"/>
      <c r="G155" s="291"/>
      <c r="H155" s="292" t="s">
        <v>2</v>
      </c>
      <c r="I155" s="241"/>
      <c r="J155" s="291"/>
      <c r="K155" s="292" t="s">
        <v>3</v>
      </c>
      <c r="L155" s="241"/>
      <c r="M155" s="241"/>
      <c r="N155" s="241" t="s">
        <v>58</v>
      </c>
      <c r="O155" s="241"/>
      <c r="P155" s="291"/>
      <c r="Q155" s="293" t="s">
        <v>13</v>
      </c>
      <c r="R155" s="293"/>
      <c r="S155" s="294"/>
    </row>
    <row r="156" spans="1:22" ht="26.25" customHeight="1" x14ac:dyDescent="0.35">
      <c r="A156" s="17" t="s">
        <v>57</v>
      </c>
      <c r="C156"/>
      <c r="D156" s="229" t="e">
        <f>$D$4</f>
        <v>#REF!</v>
      </c>
      <c r="E156" s="230"/>
      <c r="F156" s="230"/>
      <c r="G156" s="230"/>
      <c r="H156" s="231" t="e">
        <f>$F$4</f>
        <v>#REF!</v>
      </c>
      <c r="I156" s="230"/>
      <c r="J156" s="232"/>
      <c r="K156" s="233" t="str">
        <f ca="1">OFFSET($G$7,2*(D153+1)-1,0)</f>
        <v>C</v>
      </c>
      <c r="L156" s="234"/>
      <c r="M156" s="235"/>
      <c r="N156" s="236" t="s">
        <v>6</v>
      </c>
      <c r="O156" s="237"/>
      <c r="P156" s="238"/>
      <c r="Q156" s="236" t="s">
        <v>6</v>
      </c>
      <c r="R156" s="237"/>
      <c r="S156" s="239"/>
    </row>
    <row r="157" spans="1:22" ht="26.5" thickBot="1" x14ac:dyDescent="0.4">
      <c r="A157" s="17" t="s">
        <v>57</v>
      </c>
      <c r="C157"/>
      <c r="D157" s="240" t="s">
        <v>7</v>
      </c>
      <c r="E157" s="241"/>
      <c r="F157" s="241"/>
      <c r="G157" s="241"/>
      <c r="H157" s="241"/>
      <c r="I157" s="241"/>
      <c r="J157" s="241"/>
      <c r="K157" s="241"/>
      <c r="L157" s="241"/>
      <c r="M157" s="241"/>
      <c r="N157" s="241"/>
      <c r="O157" s="241"/>
      <c r="P157" s="241"/>
      <c r="Q157" s="241"/>
      <c r="R157" s="241"/>
      <c r="S157" s="242"/>
    </row>
    <row r="158" spans="1:22" ht="26" x14ac:dyDescent="0.35">
      <c r="A158" s="17" t="s">
        <v>57</v>
      </c>
      <c r="C158"/>
      <c r="D158" s="224" t="s">
        <v>59</v>
      </c>
      <c r="E158" s="225"/>
      <c r="F158" s="225"/>
      <c r="G158" s="225"/>
      <c r="H158" s="225"/>
      <c r="I158" s="225"/>
      <c r="J158" s="225"/>
      <c r="K158" s="225"/>
      <c r="L158" s="225"/>
      <c r="M158" s="225"/>
      <c r="N158" s="225"/>
      <c r="O158" s="225"/>
      <c r="P158" s="225"/>
      <c r="Q158" s="225"/>
      <c r="R158" s="225"/>
      <c r="S158" s="226"/>
      <c r="U158" s="391" t="s">
        <v>16</v>
      </c>
      <c r="V158" s="392"/>
    </row>
    <row r="159" spans="1:22" ht="27" customHeight="1" thickBot="1" x14ac:dyDescent="0.4">
      <c r="A159" s="17" t="s">
        <v>57</v>
      </c>
      <c r="C159"/>
      <c r="D159" s="92" t="s">
        <v>60</v>
      </c>
      <c r="E159" s="227" t="s">
        <v>61</v>
      </c>
      <c r="F159" s="228"/>
      <c r="G159" s="93" t="s">
        <v>11</v>
      </c>
      <c r="H159" s="94" t="s">
        <v>62</v>
      </c>
      <c r="I159" s="94" t="s">
        <v>63</v>
      </c>
      <c r="J159" s="94" t="s">
        <v>64</v>
      </c>
      <c r="K159" s="94" t="s">
        <v>65</v>
      </c>
      <c r="L159" s="94" t="s">
        <v>66</v>
      </c>
      <c r="M159" s="94" t="s">
        <v>67</v>
      </c>
      <c r="N159" s="94" t="s">
        <v>68</v>
      </c>
      <c r="O159" s="94" t="s">
        <v>69</v>
      </c>
      <c r="P159" s="94" t="s">
        <v>70</v>
      </c>
      <c r="Q159" s="94" t="s">
        <v>71</v>
      </c>
      <c r="R159" s="94" t="s">
        <v>72</v>
      </c>
      <c r="S159" s="95" t="s">
        <v>73</v>
      </c>
      <c r="U159" s="287" t="s">
        <v>74</v>
      </c>
      <c r="V159" s="288"/>
    </row>
    <row r="160" spans="1:22" ht="15.75" customHeight="1" thickBot="1" x14ac:dyDescent="0.4">
      <c r="A160" s="8" t="s">
        <v>75</v>
      </c>
      <c r="C160"/>
      <c r="D160" s="250" t="s">
        <v>76</v>
      </c>
      <c r="E160" s="96" t="s">
        <v>77</v>
      </c>
      <c r="F160" s="97" t="s">
        <v>78</v>
      </c>
      <c r="G160" s="65"/>
      <c r="H160" s="66"/>
      <c r="I160" s="67"/>
      <c r="J160" s="67"/>
      <c r="K160" s="67"/>
      <c r="L160" s="67"/>
      <c r="M160" s="68"/>
      <c r="N160" s="68"/>
      <c r="O160" s="68"/>
      <c r="P160" s="68"/>
      <c r="Q160" s="68"/>
      <c r="R160" s="68"/>
      <c r="S160" s="69"/>
      <c r="U160" s="289"/>
      <c r="V160" s="290"/>
    </row>
    <row r="161" spans="1:22" ht="15" thickBot="1" x14ac:dyDescent="0.4">
      <c r="A161" s="8" t="s">
        <v>75</v>
      </c>
      <c r="C161"/>
      <c r="D161" s="251"/>
      <c r="E161" s="70" t="s">
        <v>79</v>
      </c>
      <c r="F161" s="71" t="s">
        <v>80</v>
      </c>
      <c r="G161" s="72"/>
      <c r="H161" s="73"/>
      <c r="I161" s="74"/>
      <c r="J161" s="74"/>
      <c r="K161" s="74"/>
      <c r="L161" s="74"/>
      <c r="M161" s="75"/>
      <c r="N161" s="75"/>
      <c r="O161" s="75"/>
      <c r="P161" s="75"/>
      <c r="Q161" s="75"/>
      <c r="R161" s="75"/>
      <c r="S161" s="76"/>
      <c r="U161" s="199">
        <v>0</v>
      </c>
      <c r="V161" s="200" t="s">
        <v>21</v>
      </c>
    </row>
    <row r="162" spans="1:22" ht="15" thickBot="1" x14ac:dyDescent="0.4">
      <c r="A162" s="8" t="s">
        <v>75</v>
      </c>
      <c r="C162"/>
      <c r="D162" s="251"/>
      <c r="E162" s="77" t="s">
        <v>81</v>
      </c>
      <c r="F162" s="78" t="s">
        <v>82</v>
      </c>
      <c r="G162" s="79"/>
      <c r="H162" s="80"/>
      <c r="I162" s="81"/>
      <c r="J162" s="81"/>
      <c r="K162" s="81"/>
      <c r="L162" s="81"/>
      <c r="M162" s="82"/>
      <c r="N162" s="83"/>
      <c r="O162" s="83"/>
      <c r="P162" s="83"/>
      <c r="Q162" s="83"/>
      <c r="R162" s="83"/>
      <c r="S162" s="84"/>
      <c r="U162" s="33">
        <v>1</v>
      </c>
      <c r="V162" s="201" t="s">
        <v>22</v>
      </c>
    </row>
    <row r="163" spans="1:22" ht="15" thickBot="1" x14ac:dyDescent="0.4">
      <c r="A163" s="8" t="s">
        <v>75</v>
      </c>
      <c r="C163"/>
      <c r="D163" s="251"/>
      <c r="E163" s="77" t="s">
        <v>83</v>
      </c>
      <c r="F163" s="78" t="s">
        <v>84</v>
      </c>
      <c r="G163" s="79"/>
      <c r="H163" s="80"/>
      <c r="I163" s="81"/>
      <c r="J163" s="81"/>
      <c r="K163" s="81"/>
      <c r="L163" s="81"/>
      <c r="M163" s="83"/>
      <c r="N163" s="83"/>
      <c r="O163" s="83"/>
      <c r="P163" s="83"/>
      <c r="Q163" s="83"/>
      <c r="R163" s="83"/>
      <c r="S163" s="84"/>
      <c r="U163" s="41">
        <v>2</v>
      </c>
      <c r="V163" s="202" t="s">
        <v>25</v>
      </c>
    </row>
    <row r="164" spans="1:22" ht="15" thickBot="1" x14ac:dyDescent="0.4">
      <c r="A164" s="5" t="s">
        <v>75</v>
      </c>
      <c r="C164"/>
      <c r="D164" s="251"/>
      <c r="E164" s="77" t="s">
        <v>85</v>
      </c>
      <c r="F164" s="78" t="s">
        <v>86</v>
      </c>
      <c r="G164" s="79"/>
      <c r="H164" s="80"/>
      <c r="I164" s="81"/>
      <c r="J164" s="81"/>
      <c r="K164" s="81"/>
      <c r="L164" s="81"/>
      <c r="M164" s="83"/>
      <c r="N164" s="83"/>
      <c r="O164" s="83"/>
      <c r="P164" s="83"/>
      <c r="Q164" s="83"/>
      <c r="R164" s="83"/>
      <c r="S164" s="84"/>
      <c r="U164" s="38">
        <v>3</v>
      </c>
      <c r="V164" s="203" t="s">
        <v>26</v>
      </c>
    </row>
    <row r="165" spans="1:22" ht="15" thickBot="1" x14ac:dyDescent="0.4">
      <c r="A165" s="5" t="s">
        <v>75</v>
      </c>
      <c r="C165"/>
      <c r="D165" s="252"/>
      <c r="E165" s="77" t="s">
        <v>87</v>
      </c>
      <c r="F165" s="78" t="s">
        <v>88</v>
      </c>
      <c r="G165" s="79"/>
      <c r="H165" s="80"/>
      <c r="I165" s="81"/>
      <c r="J165" s="81"/>
      <c r="K165" s="81"/>
      <c r="L165" s="81"/>
      <c r="M165" s="83"/>
      <c r="N165" s="83"/>
      <c r="O165" s="83"/>
      <c r="P165" s="83"/>
      <c r="Q165" s="83"/>
      <c r="R165" s="83"/>
      <c r="S165" s="84"/>
      <c r="U165" s="35">
        <v>4</v>
      </c>
      <c r="V165" s="204" t="s">
        <v>29</v>
      </c>
    </row>
    <row r="166" spans="1:22" ht="15" thickBot="1" x14ac:dyDescent="0.4">
      <c r="A166" s="5" t="s">
        <v>75</v>
      </c>
      <c r="C166"/>
      <c r="D166" s="253" t="s">
        <v>37</v>
      </c>
      <c r="E166" s="77" t="s">
        <v>89</v>
      </c>
      <c r="F166" s="78" t="s">
        <v>90</v>
      </c>
      <c r="G166" s="79"/>
      <c r="H166" s="80"/>
      <c r="I166" s="81"/>
      <c r="J166" s="81"/>
      <c r="K166" s="81"/>
      <c r="L166" s="81"/>
      <c r="M166" s="83"/>
      <c r="N166" s="83"/>
      <c r="O166" s="83"/>
      <c r="P166" s="83"/>
      <c r="Q166" s="83"/>
      <c r="R166" s="83"/>
      <c r="S166" s="84"/>
      <c r="U166" s="46">
        <v>5</v>
      </c>
      <c r="V166" s="60" t="s">
        <v>30</v>
      </c>
    </row>
    <row r="167" spans="1:22" ht="15" thickBot="1" x14ac:dyDescent="0.4">
      <c r="A167" s="5" t="s">
        <v>75</v>
      </c>
      <c r="C167"/>
      <c r="D167" s="253"/>
      <c r="E167" s="77" t="s">
        <v>91</v>
      </c>
      <c r="F167" s="78" t="s">
        <v>92</v>
      </c>
      <c r="G167" s="79"/>
      <c r="H167" s="80"/>
      <c r="I167" s="81"/>
      <c r="J167" s="81"/>
      <c r="K167" s="81"/>
      <c r="L167" s="81"/>
      <c r="M167" s="83"/>
      <c r="N167" s="83"/>
      <c r="O167" s="83"/>
      <c r="P167" s="83"/>
      <c r="Q167" s="83"/>
      <c r="R167" s="83"/>
      <c r="S167" s="84"/>
    </row>
    <row r="168" spans="1:22" ht="15.75" customHeight="1" thickBot="1" x14ac:dyDescent="0.4">
      <c r="A168" s="5" t="s">
        <v>75</v>
      </c>
      <c r="C168"/>
      <c r="D168" s="243" t="s">
        <v>93</v>
      </c>
      <c r="E168" s="77" t="s">
        <v>94</v>
      </c>
      <c r="F168" s="78" t="s">
        <v>95</v>
      </c>
      <c r="G168" s="79"/>
      <c r="H168" s="80"/>
      <c r="I168" s="81"/>
      <c r="J168" s="81"/>
      <c r="K168" s="81"/>
      <c r="L168" s="81"/>
      <c r="M168" s="83"/>
      <c r="N168" s="83"/>
      <c r="O168" s="83"/>
      <c r="P168" s="83"/>
      <c r="Q168" s="83"/>
      <c r="R168" s="83"/>
      <c r="S168" s="84"/>
    </row>
    <row r="169" spans="1:22" ht="15" thickBot="1" x14ac:dyDescent="0.4">
      <c r="A169" s="5" t="s">
        <v>75</v>
      </c>
      <c r="C169"/>
      <c r="D169" s="244"/>
      <c r="E169" s="77" t="s">
        <v>96</v>
      </c>
      <c r="F169" s="78" t="s">
        <v>97</v>
      </c>
      <c r="G169" s="79"/>
      <c r="H169" s="80"/>
      <c r="I169" s="81"/>
      <c r="J169" s="81"/>
      <c r="K169" s="81"/>
      <c r="L169" s="81"/>
      <c r="M169" s="83"/>
      <c r="N169" s="83"/>
      <c r="O169" s="83"/>
      <c r="P169" s="83"/>
      <c r="Q169" s="83"/>
      <c r="R169" s="83"/>
      <c r="S169" s="84"/>
    </row>
    <row r="170" spans="1:22" ht="15" thickBot="1" x14ac:dyDescent="0.4">
      <c r="A170" s="5" t="s">
        <v>75</v>
      </c>
      <c r="C170"/>
      <c r="D170" s="245" t="s">
        <v>98</v>
      </c>
      <c r="E170" s="77" t="s">
        <v>99</v>
      </c>
      <c r="F170" s="78" t="s">
        <v>100</v>
      </c>
      <c r="G170" s="79"/>
      <c r="H170" s="80"/>
      <c r="I170" s="81"/>
      <c r="J170" s="81"/>
      <c r="K170" s="81"/>
      <c r="L170" s="81"/>
      <c r="M170" s="83"/>
      <c r="N170" s="83"/>
      <c r="O170" s="83"/>
      <c r="P170" s="83"/>
      <c r="Q170" s="83"/>
      <c r="R170" s="83"/>
      <c r="S170" s="84"/>
    </row>
    <row r="171" spans="1:22" ht="15" thickBot="1" x14ac:dyDescent="0.4">
      <c r="A171" s="5" t="s">
        <v>75</v>
      </c>
      <c r="C171"/>
      <c r="D171" s="246"/>
      <c r="E171" s="77" t="s">
        <v>101</v>
      </c>
      <c r="F171" s="78" t="s">
        <v>102</v>
      </c>
      <c r="G171" s="79"/>
      <c r="H171" s="80"/>
      <c r="I171" s="81"/>
      <c r="J171" s="81"/>
      <c r="K171" s="81"/>
      <c r="L171" s="81"/>
      <c r="M171" s="83"/>
      <c r="N171" s="83"/>
      <c r="O171" s="83"/>
      <c r="P171" s="83"/>
      <c r="Q171" s="83"/>
      <c r="R171" s="83"/>
      <c r="S171" s="84"/>
    </row>
    <row r="172" spans="1:22" ht="15" thickBot="1" x14ac:dyDescent="0.4">
      <c r="A172" s="5" t="s">
        <v>75</v>
      </c>
      <c r="C172"/>
      <c r="D172" s="245" t="s">
        <v>103</v>
      </c>
      <c r="E172" s="77" t="s">
        <v>104</v>
      </c>
      <c r="F172" s="78" t="s">
        <v>105</v>
      </c>
      <c r="G172" s="79"/>
      <c r="H172" s="80"/>
      <c r="I172" s="81"/>
      <c r="J172" s="81"/>
      <c r="K172" s="81"/>
      <c r="L172" s="81"/>
      <c r="M172" s="83"/>
      <c r="N172" s="83"/>
      <c r="O172" s="83"/>
      <c r="P172" s="83"/>
      <c r="Q172" s="83"/>
      <c r="R172" s="83"/>
      <c r="S172" s="84"/>
    </row>
    <row r="173" spans="1:22" ht="15" thickBot="1" x14ac:dyDescent="0.4">
      <c r="A173" s="5" t="s">
        <v>75</v>
      </c>
      <c r="C173"/>
      <c r="D173" s="246"/>
      <c r="E173" s="77" t="s">
        <v>106</v>
      </c>
      <c r="F173" s="78" t="s">
        <v>107</v>
      </c>
      <c r="G173" s="79"/>
      <c r="H173" s="80"/>
      <c r="I173" s="81"/>
      <c r="J173" s="81"/>
      <c r="K173" s="81"/>
      <c r="L173" s="81"/>
      <c r="M173" s="83"/>
      <c r="N173" s="83"/>
      <c r="O173" s="83"/>
      <c r="P173" s="83"/>
      <c r="Q173" s="83"/>
      <c r="R173" s="83"/>
      <c r="S173" s="84"/>
    </row>
    <row r="174" spans="1:22" ht="15" thickBot="1" x14ac:dyDescent="0.4">
      <c r="A174" s="5" t="s">
        <v>75</v>
      </c>
      <c r="C174"/>
      <c r="D174" s="245" t="s">
        <v>108</v>
      </c>
      <c r="E174" s="77" t="s">
        <v>109</v>
      </c>
      <c r="F174" s="78" t="s">
        <v>110</v>
      </c>
      <c r="G174" s="79"/>
      <c r="H174" s="80"/>
      <c r="I174" s="81"/>
      <c r="J174" s="81"/>
      <c r="K174" s="81"/>
      <c r="L174" s="81"/>
      <c r="M174" s="83"/>
      <c r="N174" s="83"/>
      <c r="O174" s="83"/>
      <c r="P174" s="83"/>
      <c r="Q174" s="83"/>
      <c r="R174" s="83"/>
      <c r="S174" s="84"/>
    </row>
    <row r="175" spans="1:22" ht="15" thickBot="1" x14ac:dyDescent="0.4">
      <c r="A175" s="5" t="s">
        <v>75</v>
      </c>
      <c r="C175"/>
      <c r="D175" s="244"/>
      <c r="E175" s="85" t="s">
        <v>111</v>
      </c>
      <c r="F175" s="86" t="s">
        <v>112</v>
      </c>
      <c r="G175" s="87"/>
      <c r="H175" s="88"/>
      <c r="I175" s="89"/>
      <c r="J175" s="89"/>
      <c r="K175" s="89"/>
      <c r="L175" s="89"/>
      <c r="M175" s="90"/>
      <c r="N175" s="90"/>
      <c r="O175" s="90"/>
      <c r="P175" s="90"/>
      <c r="Q175" s="90"/>
      <c r="R175" s="90"/>
      <c r="S175" s="91"/>
    </row>
    <row r="176" spans="1:22" ht="23.25" customHeight="1" thickBot="1" x14ac:dyDescent="0.4">
      <c r="A176" s="5" t="s">
        <v>75</v>
      </c>
      <c r="C176"/>
      <c r="D176" s="98" t="s">
        <v>113</v>
      </c>
      <c r="E176" s="98"/>
      <c r="F176" s="98" t="s">
        <v>114</v>
      </c>
      <c r="G176" s="99"/>
      <c r="H176" s="247" t="s">
        <v>115</v>
      </c>
      <c r="I176" s="248"/>
      <c r="J176" s="248"/>
      <c r="K176" s="248"/>
      <c r="L176" s="248"/>
      <c r="M176" s="248"/>
      <c r="N176" s="248"/>
      <c r="O176" s="249"/>
      <c r="P176" s="247" t="s">
        <v>116</v>
      </c>
      <c r="Q176" s="248"/>
      <c r="R176" s="248" t="s">
        <v>117</v>
      </c>
      <c r="S176" s="249"/>
    </row>
    <row r="177" spans="1:19" ht="12.75" customHeight="1" x14ac:dyDescent="0.35">
      <c r="A177" s="5" t="s">
        <v>75</v>
      </c>
      <c r="C177"/>
      <c r="D177" s="254" t="s">
        <v>118</v>
      </c>
      <c r="E177" s="255"/>
      <c r="F177" s="260" t="s">
        <v>119</v>
      </c>
      <c r="G177" s="255"/>
      <c r="H177" s="260" t="s">
        <v>120</v>
      </c>
      <c r="I177" s="264"/>
      <c r="J177" s="264"/>
      <c r="K177" s="264"/>
      <c r="L177" s="264"/>
      <c r="M177" s="264"/>
      <c r="N177" s="264"/>
      <c r="O177" s="255"/>
      <c r="P177" s="268" t="s">
        <v>11</v>
      </c>
      <c r="Q177" s="282"/>
      <c r="R177" s="268" t="s">
        <v>121</v>
      </c>
      <c r="S177" s="285"/>
    </row>
    <row r="178" spans="1:19" ht="12.75" customHeight="1" x14ac:dyDescent="0.35">
      <c r="A178" s="5" t="s">
        <v>75</v>
      </c>
      <c r="C178"/>
      <c r="D178" s="256"/>
      <c r="E178" s="257"/>
      <c r="F178" s="261"/>
      <c r="G178" s="257"/>
      <c r="H178" s="261"/>
      <c r="I178" s="265"/>
      <c r="J178" s="265"/>
      <c r="K178" s="265"/>
      <c r="L178" s="265"/>
      <c r="M178" s="265"/>
      <c r="N178" s="265"/>
      <c r="O178" s="257"/>
      <c r="P178" s="270"/>
      <c r="Q178" s="283"/>
      <c r="R178" s="270"/>
      <c r="S178" s="280"/>
    </row>
    <row r="179" spans="1:19" ht="12.75" customHeight="1" x14ac:dyDescent="0.35">
      <c r="A179" s="5" t="s">
        <v>75</v>
      </c>
      <c r="C179"/>
      <c r="D179" s="256"/>
      <c r="E179" s="257"/>
      <c r="F179" s="261"/>
      <c r="G179" s="257"/>
      <c r="H179" s="261"/>
      <c r="I179" s="265"/>
      <c r="J179" s="265"/>
      <c r="K179" s="265"/>
      <c r="L179" s="265"/>
      <c r="M179" s="265"/>
      <c r="N179" s="265"/>
      <c r="O179" s="257"/>
      <c r="P179" s="270"/>
      <c r="Q179" s="283"/>
      <c r="R179" s="270"/>
      <c r="S179" s="280"/>
    </row>
    <row r="180" spans="1:19" ht="12.75" customHeight="1" thickBot="1" x14ac:dyDescent="0.4">
      <c r="A180" s="5" t="s">
        <v>75</v>
      </c>
      <c r="C180"/>
      <c r="D180" s="258"/>
      <c r="E180" s="259"/>
      <c r="F180" s="262"/>
      <c r="G180" s="263"/>
      <c r="H180" s="266"/>
      <c r="I180" s="267"/>
      <c r="J180" s="267"/>
      <c r="K180" s="267"/>
      <c r="L180" s="267"/>
      <c r="M180" s="267"/>
      <c r="N180" s="267"/>
      <c r="O180" s="259"/>
      <c r="P180" s="272"/>
      <c r="Q180" s="284"/>
      <c r="R180" s="272"/>
      <c r="S180" s="286"/>
    </row>
    <row r="181" spans="1:19" ht="12.75" customHeight="1" x14ac:dyDescent="0.35">
      <c r="A181" s="5" t="s">
        <v>75</v>
      </c>
      <c r="C181"/>
      <c r="D181" s="254" t="s">
        <v>118</v>
      </c>
      <c r="E181" s="255"/>
      <c r="F181" s="260" t="s">
        <v>119</v>
      </c>
      <c r="G181" s="255"/>
      <c r="H181" s="260" t="s">
        <v>120</v>
      </c>
      <c r="I181" s="264"/>
      <c r="J181" s="264"/>
      <c r="K181" s="264"/>
      <c r="L181" s="264"/>
      <c r="M181" s="264"/>
      <c r="N181" s="264"/>
      <c r="O181" s="255"/>
      <c r="P181" s="268" t="s">
        <v>11</v>
      </c>
      <c r="Q181" s="269"/>
      <c r="R181" s="278" t="s">
        <v>121</v>
      </c>
      <c r="S181" s="279"/>
    </row>
    <row r="182" spans="1:19" ht="12.75" customHeight="1" x14ac:dyDescent="0.35">
      <c r="A182" s="5" t="s">
        <v>75</v>
      </c>
      <c r="C182"/>
      <c r="D182" s="256"/>
      <c r="E182" s="257"/>
      <c r="F182" s="261"/>
      <c r="G182" s="257"/>
      <c r="H182" s="261"/>
      <c r="I182" s="265"/>
      <c r="J182" s="265"/>
      <c r="K182" s="265"/>
      <c r="L182" s="265"/>
      <c r="M182" s="265"/>
      <c r="N182" s="265"/>
      <c r="O182" s="257"/>
      <c r="P182" s="270"/>
      <c r="Q182" s="271"/>
      <c r="R182" s="270"/>
      <c r="S182" s="280"/>
    </row>
    <row r="183" spans="1:19" ht="12.75" customHeight="1" x14ac:dyDescent="0.35">
      <c r="A183" s="5" t="s">
        <v>75</v>
      </c>
      <c r="C183"/>
      <c r="D183" s="256"/>
      <c r="E183" s="257"/>
      <c r="F183" s="261"/>
      <c r="G183" s="257"/>
      <c r="H183" s="261"/>
      <c r="I183" s="265"/>
      <c r="J183" s="265"/>
      <c r="K183" s="265"/>
      <c r="L183" s="265"/>
      <c r="M183" s="265"/>
      <c r="N183" s="265"/>
      <c r="O183" s="257"/>
      <c r="P183" s="270"/>
      <c r="Q183" s="271"/>
      <c r="R183" s="270"/>
      <c r="S183" s="280"/>
    </row>
    <row r="184" spans="1:19" ht="12.75" customHeight="1" thickBot="1" x14ac:dyDescent="0.4">
      <c r="A184" s="5" t="s">
        <v>75</v>
      </c>
      <c r="C184"/>
      <c r="D184" s="258"/>
      <c r="E184" s="259"/>
      <c r="F184" s="262"/>
      <c r="G184" s="263"/>
      <c r="H184" s="266"/>
      <c r="I184" s="267"/>
      <c r="J184" s="267"/>
      <c r="K184" s="267"/>
      <c r="L184" s="267"/>
      <c r="M184" s="267"/>
      <c r="N184" s="267"/>
      <c r="O184" s="259"/>
      <c r="P184" s="272"/>
      <c r="Q184" s="273"/>
      <c r="R184" s="272"/>
      <c r="S184" s="286"/>
    </row>
    <row r="185" spans="1:19" ht="12.75" customHeight="1" x14ac:dyDescent="0.35">
      <c r="A185" s="5" t="s">
        <v>75</v>
      </c>
      <c r="C185"/>
      <c r="D185" s="254" t="s">
        <v>118</v>
      </c>
      <c r="E185" s="255"/>
      <c r="F185" s="260" t="s">
        <v>119</v>
      </c>
      <c r="G185" s="255"/>
      <c r="H185" s="260" t="s">
        <v>120</v>
      </c>
      <c r="I185" s="264"/>
      <c r="J185" s="264"/>
      <c r="K185" s="264"/>
      <c r="L185" s="264"/>
      <c r="M185" s="264"/>
      <c r="N185" s="264"/>
      <c r="O185" s="255"/>
      <c r="P185" s="268" t="s">
        <v>11</v>
      </c>
      <c r="Q185" s="269"/>
      <c r="R185" s="278" t="s">
        <v>121</v>
      </c>
      <c r="S185" s="279"/>
    </row>
    <row r="186" spans="1:19" ht="12.75" customHeight="1" x14ac:dyDescent="0.35">
      <c r="A186" s="5" t="s">
        <v>75</v>
      </c>
      <c r="C186"/>
      <c r="D186" s="256"/>
      <c r="E186" s="257"/>
      <c r="F186" s="261"/>
      <c r="G186" s="257"/>
      <c r="H186" s="261"/>
      <c r="I186" s="265"/>
      <c r="J186" s="265"/>
      <c r="K186" s="265"/>
      <c r="L186" s="265"/>
      <c r="M186" s="265"/>
      <c r="N186" s="265"/>
      <c r="O186" s="257"/>
      <c r="P186" s="270"/>
      <c r="Q186" s="271"/>
      <c r="R186" s="270"/>
      <c r="S186" s="280"/>
    </row>
    <row r="187" spans="1:19" ht="12.75" customHeight="1" x14ac:dyDescent="0.35">
      <c r="A187" s="5" t="s">
        <v>75</v>
      </c>
      <c r="C187"/>
      <c r="D187" s="256"/>
      <c r="E187" s="257"/>
      <c r="F187" s="261"/>
      <c r="G187" s="257"/>
      <c r="H187" s="261"/>
      <c r="I187" s="265"/>
      <c r="J187" s="265"/>
      <c r="K187" s="265"/>
      <c r="L187" s="265"/>
      <c r="M187" s="265"/>
      <c r="N187" s="265"/>
      <c r="O187" s="257"/>
      <c r="P187" s="270"/>
      <c r="Q187" s="271"/>
      <c r="R187" s="270"/>
      <c r="S187" s="280"/>
    </row>
    <row r="188" spans="1:19" ht="12.75" customHeight="1" thickBot="1" x14ac:dyDescent="0.4">
      <c r="A188" s="5" t="s">
        <v>75</v>
      </c>
      <c r="C188"/>
      <c r="D188" s="274"/>
      <c r="E188" s="263"/>
      <c r="F188" s="262"/>
      <c r="G188" s="263"/>
      <c r="H188" s="262"/>
      <c r="I188" s="275"/>
      <c r="J188" s="275"/>
      <c r="K188" s="275"/>
      <c r="L188" s="275"/>
      <c r="M188" s="275"/>
      <c r="N188" s="275"/>
      <c r="O188" s="263"/>
      <c r="P188" s="276"/>
      <c r="Q188" s="277"/>
      <c r="R188" s="276"/>
      <c r="S188" s="281"/>
    </row>
    <row r="203" spans="1:22" ht="23" thickBot="1" x14ac:dyDescent="0.5">
      <c r="C203"/>
      <c r="D203" s="11">
        <f>D153+1</f>
        <v>4</v>
      </c>
      <c r="E203" s="11"/>
      <c r="F203" s="14"/>
      <c r="G203" s="14"/>
      <c r="H203" s="14"/>
      <c r="I203" s="14"/>
      <c r="J203" s="14"/>
      <c r="K203" s="14"/>
      <c r="L203" s="14"/>
      <c r="M203" s="14"/>
      <c r="N203" s="14"/>
      <c r="O203" s="14"/>
      <c r="P203" s="14"/>
      <c r="Q203" s="14"/>
      <c r="R203" s="14"/>
      <c r="S203" s="14"/>
    </row>
    <row r="204" spans="1:22" ht="30" customHeight="1" thickBot="1" x14ac:dyDescent="0.4">
      <c r="A204" s="17" t="s">
        <v>57</v>
      </c>
      <c r="C204"/>
      <c r="D204" s="295" t="e">
        <f ca="1">"Hoshin Implementation Plan "&amp;#REF!&amp;"   -   Must Win Battle / Strategy:   "&amp;$L$2</f>
        <v>#REF!</v>
      </c>
      <c r="E204" s="296"/>
      <c r="F204" s="296"/>
      <c r="G204" s="297"/>
      <c r="H204" s="298" t="e">
        <f ca="1">"Work Stream:   "&amp;OFFSET($E$7,2*(D203+1)-1,0)&amp;" - "&amp;OFFSET($F$7,2*(D203+1)-1,0)</f>
        <v>#NAME?</v>
      </c>
      <c r="I204" s="296"/>
      <c r="J204" s="296"/>
      <c r="K204" s="296"/>
      <c r="L204" s="296"/>
      <c r="M204" s="296"/>
      <c r="N204" s="296"/>
      <c r="O204" s="296"/>
      <c r="P204" s="296"/>
      <c r="Q204" s="296"/>
      <c r="R204" s="296"/>
      <c r="S204" s="299"/>
    </row>
    <row r="205" spans="1:22" ht="26" x14ac:dyDescent="0.35">
      <c r="A205" s="17" t="s">
        <v>57</v>
      </c>
      <c r="C205"/>
      <c r="D205" s="240" t="s">
        <v>1</v>
      </c>
      <c r="E205" s="241"/>
      <c r="F205" s="241"/>
      <c r="G205" s="291"/>
      <c r="H205" s="292" t="s">
        <v>2</v>
      </c>
      <c r="I205" s="241"/>
      <c r="J205" s="291"/>
      <c r="K205" s="292" t="s">
        <v>3</v>
      </c>
      <c r="L205" s="241"/>
      <c r="M205" s="241"/>
      <c r="N205" s="241" t="s">
        <v>58</v>
      </c>
      <c r="O205" s="241"/>
      <c r="P205" s="291"/>
      <c r="Q205" s="293" t="s">
        <v>13</v>
      </c>
      <c r="R205" s="293"/>
      <c r="S205" s="294"/>
    </row>
    <row r="206" spans="1:22" ht="26.25" customHeight="1" x14ac:dyDescent="0.35">
      <c r="A206" s="17" t="s">
        <v>57</v>
      </c>
      <c r="C206"/>
      <c r="D206" s="229" t="e">
        <f>$D$4</f>
        <v>#REF!</v>
      </c>
      <c r="E206" s="230"/>
      <c r="F206" s="230"/>
      <c r="G206" s="230"/>
      <c r="H206" s="231" t="e">
        <f>$F$4</f>
        <v>#REF!</v>
      </c>
      <c r="I206" s="230"/>
      <c r="J206" s="232"/>
      <c r="K206" s="233" t="str">
        <f ca="1">OFFSET($G$7,2*(D203+1)-1,0)</f>
        <v>D</v>
      </c>
      <c r="L206" s="234"/>
      <c r="M206" s="235"/>
      <c r="N206" s="236" t="s">
        <v>6</v>
      </c>
      <c r="O206" s="237"/>
      <c r="P206" s="238"/>
      <c r="Q206" s="236" t="s">
        <v>6</v>
      </c>
      <c r="R206" s="237"/>
      <c r="S206" s="239"/>
    </row>
    <row r="207" spans="1:22" ht="26.5" thickBot="1" x14ac:dyDescent="0.4">
      <c r="A207" s="17" t="s">
        <v>57</v>
      </c>
      <c r="C207"/>
      <c r="D207" s="240" t="s">
        <v>7</v>
      </c>
      <c r="E207" s="241"/>
      <c r="F207" s="241"/>
      <c r="G207" s="241"/>
      <c r="H207" s="241"/>
      <c r="I207" s="241"/>
      <c r="J207" s="241"/>
      <c r="K207" s="241"/>
      <c r="L207" s="241"/>
      <c r="M207" s="241"/>
      <c r="N207" s="241"/>
      <c r="O207" s="241"/>
      <c r="P207" s="241"/>
      <c r="Q207" s="241"/>
      <c r="R207" s="241"/>
      <c r="S207" s="242"/>
    </row>
    <row r="208" spans="1:22" ht="26" x14ac:dyDescent="0.35">
      <c r="A208" s="17" t="s">
        <v>57</v>
      </c>
      <c r="C208"/>
      <c r="D208" s="224" t="s">
        <v>59</v>
      </c>
      <c r="E208" s="225"/>
      <c r="F208" s="225"/>
      <c r="G208" s="225"/>
      <c r="H208" s="225"/>
      <c r="I208" s="225"/>
      <c r="J208" s="225"/>
      <c r="K208" s="225"/>
      <c r="L208" s="225"/>
      <c r="M208" s="225"/>
      <c r="N208" s="225"/>
      <c r="O208" s="225"/>
      <c r="P208" s="225"/>
      <c r="Q208" s="225"/>
      <c r="R208" s="225"/>
      <c r="S208" s="226"/>
      <c r="U208" s="391" t="s">
        <v>16</v>
      </c>
      <c r="V208" s="392"/>
    </row>
    <row r="209" spans="1:22" ht="27" customHeight="1" thickBot="1" x14ac:dyDescent="0.4">
      <c r="A209" s="17" t="s">
        <v>57</v>
      </c>
      <c r="C209"/>
      <c r="D209" s="92" t="s">
        <v>60</v>
      </c>
      <c r="E209" s="227" t="s">
        <v>61</v>
      </c>
      <c r="F209" s="228"/>
      <c r="G209" s="93" t="s">
        <v>11</v>
      </c>
      <c r="H209" s="94" t="s">
        <v>62</v>
      </c>
      <c r="I209" s="94" t="s">
        <v>63</v>
      </c>
      <c r="J209" s="94" t="s">
        <v>64</v>
      </c>
      <c r="K209" s="94" t="s">
        <v>65</v>
      </c>
      <c r="L209" s="94" t="s">
        <v>66</v>
      </c>
      <c r="M209" s="94" t="s">
        <v>67</v>
      </c>
      <c r="N209" s="94" t="s">
        <v>68</v>
      </c>
      <c r="O209" s="94" t="s">
        <v>69</v>
      </c>
      <c r="P209" s="94" t="s">
        <v>70</v>
      </c>
      <c r="Q209" s="94" t="s">
        <v>71</v>
      </c>
      <c r="R209" s="94" t="s">
        <v>72</v>
      </c>
      <c r="S209" s="95" t="s">
        <v>73</v>
      </c>
      <c r="U209" s="287" t="s">
        <v>74</v>
      </c>
      <c r="V209" s="288"/>
    </row>
    <row r="210" spans="1:22" ht="15.75" customHeight="1" thickBot="1" x14ac:dyDescent="0.4">
      <c r="A210" s="8" t="s">
        <v>75</v>
      </c>
      <c r="C210"/>
      <c r="D210" s="250" t="s">
        <v>76</v>
      </c>
      <c r="E210" s="96" t="s">
        <v>77</v>
      </c>
      <c r="F210" s="97" t="s">
        <v>78</v>
      </c>
      <c r="G210" s="65"/>
      <c r="H210" s="66"/>
      <c r="I210" s="67"/>
      <c r="J210" s="67"/>
      <c r="K210" s="67"/>
      <c r="L210" s="67"/>
      <c r="M210" s="68"/>
      <c r="N210" s="68"/>
      <c r="O210" s="68"/>
      <c r="P210" s="68"/>
      <c r="Q210" s="68"/>
      <c r="R210" s="68"/>
      <c r="S210" s="69"/>
      <c r="U210" s="289"/>
      <c r="V210" s="290"/>
    </row>
    <row r="211" spans="1:22" ht="15" thickBot="1" x14ac:dyDescent="0.4">
      <c r="A211" s="8" t="s">
        <v>75</v>
      </c>
      <c r="C211"/>
      <c r="D211" s="251"/>
      <c r="E211" s="70" t="s">
        <v>79</v>
      </c>
      <c r="F211" s="71" t="s">
        <v>80</v>
      </c>
      <c r="G211" s="72"/>
      <c r="H211" s="73"/>
      <c r="I211" s="74"/>
      <c r="J211" s="74"/>
      <c r="K211" s="74"/>
      <c r="L211" s="74"/>
      <c r="M211" s="75"/>
      <c r="N211" s="75"/>
      <c r="O211" s="75"/>
      <c r="P211" s="75"/>
      <c r="Q211" s="75"/>
      <c r="R211" s="75"/>
      <c r="S211" s="76"/>
      <c r="U211" s="199">
        <v>0</v>
      </c>
      <c r="V211" s="200" t="s">
        <v>21</v>
      </c>
    </row>
    <row r="212" spans="1:22" ht="15" thickBot="1" x14ac:dyDescent="0.4">
      <c r="A212" s="8" t="s">
        <v>75</v>
      </c>
      <c r="C212"/>
      <c r="D212" s="251"/>
      <c r="E212" s="77" t="s">
        <v>81</v>
      </c>
      <c r="F212" s="78" t="s">
        <v>82</v>
      </c>
      <c r="G212" s="79"/>
      <c r="H212" s="80"/>
      <c r="I212" s="81"/>
      <c r="J212" s="81"/>
      <c r="K212" s="81"/>
      <c r="L212" s="81"/>
      <c r="M212" s="82"/>
      <c r="N212" s="83"/>
      <c r="O212" s="83"/>
      <c r="P212" s="83"/>
      <c r="Q212" s="83"/>
      <c r="R212" s="83"/>
      <c r="S212" s="84"/>
      <c r="U212" s="33">
        <v>1</v>
      </c>
      <c r="V212" s="201" t="s">
        <v>22</v>
      </c>
    </row>
    <row r="213" spans="1:22" ht="15" thickBot="1" x14ac:dyDescent="0.4">
      <c r="A213" s="8" t="s">
        <v>75</v>
      </c>
      <c r="C213"/>
      <c r="D213" s="251"/>
      <c r="E213" s="77" t="s">
        <v>83</v>
      </c>
      <c r="F213" s="78" t="s">
        <v>84</v>
      </c>
      <c r="G213" s="79"/>
      <c r="H213" s="80"/>
      <c r="I213" s="81"/>
      <c r="J213" s="81"/>
      <c r="K213" s="81"/>
      <c r="L213" s="81"/>
      <c r="M213" s="83"/>
      <c r="N213" s="83"/>
      <c r="O213" s="83"/>
      <c r="P213" s="83"/>
      <c r="Q213" s="83"/>
      <c r="R213" s="83"/>
      <c r="S213" s="84"/>
      <c r="U213" s="41">
        <v>2</v>
      </c>
      <c r="V213" s="202" t="s">
        <v>25</v>
      </c>
    </row>
    <row r="214" spans="1:22" ht="15" thickBot="1" x14ac:dyDescent="0.4">
      <c r="A214" s="5" t="s">
        <v>75</v>
      </c>
      <c r="C214"/>
      <c r="D214" s="251"/>
      <c r="E214" s="77" t="s">
        <v>85</v>
      </c>
      <c r="F214" s="78" t="s">
        <v>86</v>
      </c>
      <c r="G214" s="79"/>
      <c r="H214" s="80"/>
      <c r="I214" s="81"/>
      <c r="J214" s="81"/>
      <c r="K214" s="81"/>
      <c r="L214" s="81"/>
      <c r="M214" s="83"/>
      <c r="N214" s="83"/>
      <c r="O214" s="83"/>
      <c r="P214" s="83"/>
      <c r="Q214" s="83"/>
      <c r="R214" s="83"/>
      <c r="S214" s="84"/>
      <c r="U214" s="38">
        <v>3</v>
      </c>
      <c r="V214" s="203" t="s">
        <v>26</v>
      </c>
    </row>
    <row r="215" spans="1:22" ht="15" thickBot="1" x14ac:dyDescent="0.4">
      <c r="A215" s="5" t="s">
        <v>75</v>
      </c>
      <c r="C215"/>
      <c r="D215" s="252"/>
      <c r="E215" s="77" t="s">
        <v>87</v>
      </c>
      <c r="F215" s="78" t="s">
        <v>88</v>
      </c>
      <c r="G215" s="79"/>
      <c r="H215" s="80"/>
      <c r="I215" s="81"/>
      <c r="J215" s="81"/>
      <c r="K215" s="81"/>
      <c r="L215" s="81"/>
      <c r="M215" s="83"/>
      <c r="N215" s="83"/>
      <c r="O215" s="83"/>
      <c r="P215" s="83"/>
      <c r="Q215" s="83"/>
      <c r="R215" s="83"/>
      <c r="S215" s="84"/>
      <c r="U215" s="35">
        <v>4</v>
      </c>
      <c r="V215" s="204" t="s">
        <v>29</v>
      </c>
    </row>
    <row r="216" spans="1:22" ht="15" thickBot="1" x14ac:dyDescent="0.4">
      <c r="A216" s="5" t="s">
        <v>75</v>
      </c>
      <c r="C216"/>
      <c r="D216" s="253" t="s">
        <v>37</v>
      </c>
      <c r="E216" s="77" t="s">
        <v>89</v>
      </c>
      <c r="F216" s="78" t="s">
        <v>90</v>
      </c>
      <c r="G216" s="79"/>
      <c r="H216" s="80"/>
      <c r="I216" s="81"/>
      <c r="J216" s="81"/>
      <c r="K216" s="81"/>
      <c r="L216" s="81"/>
      <c r="M216" s="83"/>
      <c r="N216" s="83"/>
      <c r="O216" s="83"/>
      <c r="P216" s="83"/>
      <c r="Q216" s="83"/>
      <c r="R216" s="83"/>
      <c r="S216" s="84"/>
      <c r="U216" s="46">
        <v>5</v>
      </c>
      <c r="V216" s="60" t="s">
        <v>30</v>
      </c>
    </row>
    <row r="217" spans="1:22" ht="15" thickBot="1" x14ac:dyDescent="0.4">
      <c r="A217" s="5" t="s">
        <v>75</v>
      </c>
      <c r="C217"/>
      <c r="D217" s="253"/>
      <c r="E217" s="77" t="s">
        <v>91</v>
      </c>
      <c r="F217" s="78" t="s">
        <v>92</v>
      </c>
      <c r="G217" s="79"/>
      <c r="H217" s="80"/>
      <c r="I217" s="81"/>
      <c r="J217" s="81"/>
      <c r="K217" s="81"/>
      <c r="L217" s="81"/>
      <c r="M217" s="83"/>
      <c r="N217" s="83"/>
      <c r="O217" s="83"/>
      <c r="P217" s="83"/>
      <c r="Q217" s="83"/>
      <c r="R217" s="83"/>
      <c r="S217" s="84"/>
    </row>
    <row r="218" spans="1:22" ht="15.75" customHeight="1" thickBot="1" x14ac:dyDescent="0.4">
      <c r="A218" s="5" t="s">
        <v>75</v>
      </c>
      <c r="C218"/>
      <c r="D218" s="243" t="s">
        <v>93</v>
      </c>
      <c r="E218" s="77" t="s">
        <v>94</v>
      </c>
      <c r="F218" s="78" t="s">
        <v>95</v>
      </c>
      <c r="G218" s="79"/>
      <c r="H218" s="80"/>
      <c r="I218" s="81"/>
      <c r="J218" s="81"/>
      <c r="K218" s="81"/>
      <c r="L218" s="81"/>
      <c r="M218" s="83"/>
      <c r="N218" s="83"/>
      <c r="O218" s="83"/>
      <c r="P218" s="83"/>
      <c r="Q218" s="83"/>
      <c r="R218" s="83"/>
      <c r="S218" s="84"/>
    </row>
    <row r="219" spans="1:22" ht="15" thickBot="1" x14ac:dyDescent="0.4">
      <c r="A219" s="5" t="s">
        <v>75</v>
      </c>
      <c r="C219"/>
      <c r="D219" s="244"/>
      <c r="E219" s="77" t="s">
        <v>96</v>
      </c>
      <c r="F219" s="78" t="s">
        <v>97</v>
      </c>
      <c r="G219" s="79"/>
      <c r="H219" s="80"/>
      <c r="I219" s="81"/>
      <c r="J219" s="81"/>
      <c r="K219" s="81"/>
      <c r="L219" s="81"/>
      <c r="M219" s="83"/>
      <c r="N219" s="83"/>
      <c r="O219" s="83"/>
      <c r="P219" s="83"/>
      <c r="Q219" s="83"/>
      <c r="R219" s="83"/>
      <c r="S219" s="84"/>
    </row>
    <row r="220" spans="1:22" ht="15" thickBot="1" x14ac:dyDescent="0.4">
      <c r="A220" s="5" t="s">
        <v>75</v>
      </c>
      <c r="C220"/>
      <c r="D220" s="245" t="s">
        <v>98</v>
      </c>
      <c r="E220" s="77" t="s">
        <v>99</v>
      </c>
      <c r="F220" s="78" t="s">
        <v>100</v>
      </c>
      <c r="G220" s="79"/>
      <c r="H220" s="80"/>
      <c r="I220" s="81"/>
      <c r="J220" s="81"/>
      <c r="K220" s="81"/>
      <c r="L220" s="81"/>
      <c r="M220" s="83"/>
      <c r="N220" s="83"/>
      <c r="O220" s="83"/>
      <c r="P220" s="83"/>
      <c r="Q220" s="83"/>
      <c r="R220" s="83"/>
      <c r="S220" s="84"/>
    </row>
    <row r="221" spans="1:22" ht="15" thickBot="1" x14ac:dyDescent="0.4">
      <c r="A221" s="5" t="s">
        <v>75</v>
      </c>
      <c r="C221"/>
      <c r="D221" s="246"/>
      <c r="E221" s="77" t="s">
        <v>101</v>
      </c>
      <c r="F221" s="78" t="s">
        <v>102</v>
      </c>
      <c r="G221" s="79"/>
      <c r="H221" s="80"/>
      <c r="I221" s="81"/>
      <c r="J221" s="81"/>
      <c r="K221" s="81"/>
      <c r="L221" s="81"/>
      <c r="M221" s="83"/>
      <c r="N221" s="83"/>
      <c r="O221" s="83"/>
      <c r="P221" s="83"/>
      <c r="Q221" s="83"/>
      <c r="R221" s="83"/>
      <c r="S221" s="84"/>
    </row>
    <row r="222" spans="1:22" ht="15" thickBot="1" x14ac:dyDescent="0.4">
      <c r="A222" s="5" t="s">
        <v>75</v>
      </c>
      <c r="C222"/>
      <c r="D222" s="245" t="s">
        <v>103</v>
      </c>
      <c r="E222" s="77" t="s">
        <v>104</v>
      </c>
      <c r="F222" s="78" t="s">
        <v>105</v>
      </c>
      <c r="G222" s="79"/>
      <c r="H222" s="80"/>
      <c r="I222" s="81"/>
      <c r="J222" s="81"/>
      <c r="K222" s="81"/>
      <c r="L222" s="81"/>
      <c r="M222" s="83"/>
      <c r="N222" s="83"/>
      <c r="O222" s="83"/>
      <c r="P222" s="83"/>
      <c r="Q222" s="83"/>
      <c r="R222" s="83"/>
      <c r="S222" s="84"/>
    </row>
    <row r="223" spans="1:22" ht="15" thickBot="1" x14ac:dyDescent="0.4">
      <c r="A223" s="5" t="s">
        <v>75</v>
      </c>
      <c r="C223"/>
      <c r="D223" s="246"/>
      <c r="E223" s="77" t="s">
        <v>106</v>
      </c>
      <c r="F223" s="78" t="s">
        <v>107</v>
      </c>
      <c r="G223" s="79"/>
      <c r="H223" s="80"/>
      <c r="I223" s="81"/>
      <c r="J223" s="81"/>
      <c r="K223" s="81"/>
      <c r="L223" s="81"/>
      <c r="M223" s="83"/>
      <c r="N223" s="83"/>
      <c r="O223" s="83"/>
      <c r="P223" s="83"/>
      <c r="Q223" s="83"/>
      <c r="R223" s="83"/>
      <c r="S223" s="84"/>
    </row>
    <row r="224" spans="1:22" ht="15" thickBot="1" x14ac:dyDescent="0.4">
      <c r="A224" s="5" t="s">
        <v>75</v>
      </c>
      <c r="C224"/>
      <c r="D224" s="245" t="s">
        <v>108</v>
      </c>
      <c r="E224" s="77" t="s">
        <v>109</v>
      </c>
      <c r="F224" s="78" t="s">
        <v>110</v>
      </c>
      <c r="G224" s="79"/>
      <c r="H224" s="80"/>
      <c r="I224" s="81"/>
      <c r="J224" s="81"/>
      <c r="K224" s="81"/>
      <c r="L224" s="81"/>
      <c r="M224" s="83"/>
      <c r="N224" s="83"/>
      <c r="O224" s="83"/>
      <c r="P224" s="83"/>
      <c r="Q224" s="83"/>
      <c r="R224" s="83"/>
      <c r="S224" s="84"/>
    </row>
    <row r="225" spans="1:19" ht="15" thickBot="1" x14ac:dyDescent="0.4">
      <c r="A225" s="5" t="s">
        <v>75</v>
      </c>
      <c r="C225"/>
      <c r="D225" s="244"/>
      <c r="E225" s="85" t="s">
        <v>111</v>
      </c>
      <c r="F225" s="86" t="s">
        <v>112</v>
      </c>
      <c r="G225" s="87"/>
      <c r="H225" s="88"/>
      <c r="I225" s="89"/>
      <c r="J225" s="89"/>
      <c r="K225" s="89"/>
      <c r="L225" s="89"/>
      <c r="M225" s="90"/>
      <c r="N225" s="90"/>
      <c r="O225" s="90"/>
      <c r="P225" s="90"/>
      <c r="Q225" s="90"/>
      <c r="R225" s="90"/>
      <c r="S225" s="91"/>
    </row>
    <row r="226" spans="1:19" ht="23.25" customHeight="1" thickBot="1" x14ac:dyDescent="0.4">
      <c r="A226" s="5" t="s">
        <v>75</v>
      </c>
      <c r="C226"/>
      <c r="D226" s="98" t="s">
        <v>113</v>
      </c>
      <c r="E226" s="98"/>
      <c r="F226" s="98" t="s">
        <v>114</v>
      </c>
      <c r="G226" s="99"/>
      <c r="H226" s="247" t="s">
        <v>115</v>
      </c>
      <c r="I226" s="248"/>
      <c r="J226" s="248"/>
      <c r="K226" s="248"/>
      <c r="L226" s="248"/>
      <c r="M226" s="248"/>
      <c r="N226" s="248"/>
      <c r="O226" s="249"/>
      <c r="P226" s="247" t="s">
        <v>116</v>
      </c>
      <c r="Q226" s="248"/>
      <c r="R226" s="248" t="s">
        <v>117</v>
      </c>
      <c r="S226" s="249"/>
    </row>
    <row r="227" spans="1:19" ht="12.75" customHeight="1" x14ac:dyDescent="0.35">
      <c r="A227" s="5" t="s">
        <v>75</v>
      </c>
      <c r="C227"/>
      <c r="D227" s="254" t="s">
        <v>118</v>
      </c>
      <c r="E227" s="255"/>
      <c r="F227" s="260" t="s">
        <v>119</v>
      </c>
      <c r="G227" s="255"/>
      <c r="H227" s="260" t="s">
        <v>120</v>
      </c>
      <c r="I227" s="264"/>
      <c r="J227" s="264"/>
      <c r="K227" s="264"/>
      <c r="L227" s="264"/>
      <c r="M227" s="264"/>
      <c r="N227" s="264"/>
      <c r="O227" s="255"/>
      <c r="P227" s="268" t="s">
        <v>11</v>
      </c>
      <c r="Q227" s="282"/>
      <c r="R227" s="268" t="s">
        <v>121</v>
      </c>
      <c r="S227" s="285"/>
    </row>
    <row r="228" spans="1:19" ht="12.75" customHeight="1" x14ac:dyDescent="0.35">
      <c r="A228" s="5" t="s">
        <v>75</v>
      </c>
      <c r="C228"/>
      <c r="D228" s="256"/>
      <c r="E228" s="257"/>
      <c r="F228" s="261"/>
      <c r="G228" s="257"/>
      <c r="H228" s="261"/>
      <c r="I228" s="265"/>
      <c r="J228" s="265"/>
      <c r="K228" s="265"/>
      <c r="L228" s="265"/>
      <c r="M228" s="265"/>
      <c r="N228" s="265"/>
      <c r="O228" s="257"/>
      <c r="P228" s="270"/>
      <c r="Q228" s="283"/>
      <c r="R228" s="270"/>
      <c r="S228" s="280"/>
    </row>
    <row r="229" spans="1:19" ht="12.75" customHeight="1" x14ac:dyDescent="0.35">
      <c r="A229" s="5" t="s">
        <v>75</v>
      </c>
      <c r="C229"/>
      <c r="D229" s="256"/>
      <c r="E229" s="257"/>
      <c r="F229" s="261"/>
      <c r="G229" s="257"/>
      <c r="H229" s="261"/>
      <c r="I229" s="265"/>
      <c r="J229" s="265"/>
      <c r="K229" s="265"/>
      <c r="L229" s="265"/>
      <c r="M229" s="265"/>
      <c r="N229" s="265"/>
      <c r="O229" s="257"/>
      <c r="P229" s="270"/>
      <c r="Q229" s="283"/>
      <c r="R229" s="270"/>
      <c r="S229" s="280"/>
    </row>
    <row r="230" spans="1:19" ht="12.75" customHeight="1" thickBot="1" x14ac:dyDescent="0.4">
      <c r="A230" s="5" t="s">
        <v>75</v>
      </c>
      <c r="C230"/>
      <c r="D230" s="258"/>
      <c r="E230" s="259"/>
      <c r="F230" s="262"/>
      <c r="G230" s="263"/>
      <c r="H230" s="266"/>
      <c r="I230" s="267"/>
      <c r="J230" s="267"/>
      <c r="K230" s="267"/>
      <c r="L230" s="267"/>
      <c r="M230" s="267"/>
      <c r="N230" s="267"/>
      <c r="O230" s="259"/>
      <c r="P230" s="272"/>
      <c r="Q230" s="284"/>
      <c r="R230" s="272"/>
      <c r="S230" s="286"/>
    </row>
    <row r="231" spans="1:19" ht="12.75" customHeight="1" x14ac:dyDescent="0.35">
      <c r="A231" s="5" t="s">
        <v>75</v>
      </c>
      <c r="C231"/>
      <c r="D231" s="254" t="s">
        <v>118</v>
      </c>
      <c r="E231" s="255"/>
      <c r="F231" s="260" t="s">
        <v>119</v>
      </c>
      <c r="G231" s="255"/>
      <c r="H231" s="260" t="s">
        <v>120</v>
      </c>
      <c r="I231" s="264"/>
      <c r="J231" s="264"/>
      <c r="K231" s="264"/>
      <c r="L231" s="264"/>
      <c r="M231" s="264"/>
      <c r="N231" s="264"/>
      <c r="O231" s="255"/>
      <c r="P231" s="268" t="s">
        <v>11</v>
      </c>
      <c r="Q231" s="269"/>
      <c r="R231" s="278" t="s">
        <v>121</v>
      </c>
      <c r="S231" s="279"/>
    </row>
    <row r="232" spans="1:19" ht="12.75" customHeight="1" x14ac:dyDescent="0.35">
      <c r="A232" s="5" t="s">
        <v>75</v>
      </c>
      <c r="C232"/>
      <c r="D232" s="256"/>
      <c r="E232" s="257"/>
      <c r="F232" s="261"/>
      <c r="G232" s="257"/>
      <c r="H232" s="261"/>
      <c r="I232" s="265"/>
      <c r="J232" s="265"/>
      <c r="K232" s="265"/>
      <c r="L232" s="265"/>
      <c r="M232" s="265"/>
      <c r="N232" s="265"/>
      <c r="O232" s="257"/>
      <c r="P232" s="270"/>
      <c r="Q232" s="271"/>
      <c r="R232" s="270"/>
      <c r="S232" s="280"/>
    </row>
    <row r="233" spans="1:19" ht="12.75" customHeight="1" x14ac:dyDescent="0.35">
      <c r="A233" s="5" t="s">
        <v>75</v>
      </c>
      <c r="C233"/>
      <c r="D233" s="256"/>
      <c r="E233" s="257"/>
      <c r="F233" s="261"/>
      <c r="G233" s="257"/>
      <c r="H233" s="261"/>
      <c r="I233" s="265"/>
      <c r="J233" s="265"/>
      <c r="K233" s="265"/>
      <c r="L233" s="265"/>
      <c r="M233" s="265"/>
      <c r="N233" s="265"/>
      <c r="O233" s="257"/>
      <c r="P233" s="270"/>
      <c r="Q233" s="271"/>
      <c r="R233" s="270"/>
      <c r="S233" s="280"/>
    </row>
    <row r="234" spans="1:19" ht="12.75" customHeight="1" thickBot="1" x14ac:dyDescent="0.4">
      <c r="A234" s="5" t="s">
        <v>75</v>
      </c>
      <c r="C234"/>
      <c r="D234" s="258"/>
      <c r="E234" s="259"/>
      <c r="F234" s="262"/>
      <c r="G234" s="263"/>
      <c r="H234" s="266"/>
      <c r="I234" s="267"/>
      <c r="J234" s="267"/>
      <c r="K234" s="267"/>
      <c r="L234" s="267"/>
      <c r="M234" s="267"/>
      <c r="N234" s="267"/>
      <c r="O234" s="259"/>
      <c r="P234" s="272"/>
      <c r="Q234" s="273"/>
      <c r="R234" s="272"/>
      <c r="S234" s="286"/>
    </row>
    <row r="235" spans="1:19" ht="12.75" customHeight="1" x14ac:dyDescent="0.35">
      <c r="A235" s="5" t="s">
        <v>75</v>
      </c>
      <c r="C235"/>
      <c r="D235" s="254" t="s">
        <v>118</v>
      </c>
      <c r="E235" s="255"/>
      <c r="F235" s="260" t="s">
        <v>119</v>
      </c>
      <c r="G235" s="255"/>
      <c r="H235" s="260" t="s">
        <v>120</v>
      </c>
      <c r="I235" s="264"/>
      <c r="J235" s="264"/>
      <c r="K235" s="264"/>
      <c r="L235" s="264"/>
      <c r="M235" s="264"/>
      <c r="N235" s="264"/>
      <c r="O235" s="255"/>
      <c r="P235" s="268" t="s">
        <v>11</v>
      </c>
      <c r="Q235" s="269"/>
      <c r="R235" s="278" t="s">
        <v>121</v>
      </c>
      <c r="S235" s="279"/>
    </row>
    <row r="236" spans="1:19" ht="12.75" customHeight="1" x14ac:dyDescent="0.35">
      <c r="A236" s="5" t="s">
        <v>75</v>
      </c>
      <c r="C236"/>
      <c r="D236" s="256"/>
      <c r="E236" s="257"/>
      <c r="F236" s="261"/>
      <c r="G236" s="257"/>
      <c r="H236" s="261"/>
      <c r="I236" s="265"/>
      <c r="J236" s="265"/>
      <c r="K236" s="265"/>
      <c r="L236" s="265"/>
      <c r="M236" s="265"/>
      <c r="N236" s="265"/>
      <c r="O236" s="257"/>
      <c r="P236" s="270"/>
      <c r="Q236" s="271"/>
      <c r="R236" s="270"/>
      <c r="S236" s="280"/>
    </row>
    <row r="237" spans="1:19" ht="12.75" customHeight="1" x14ac:dyDescent="0.35">
      <c r="A237" s="5" t="s">
        <v>75</v>
      </c>
      <c r="C237"/>
      <c r="D237" s="256"/>
      <c r="E237" s="257"/>
      <c r="F237" s="261"/>
      <c r="G237" s="257"/>
      <c r="H237" s="261"/>
      <c r="I237" s="265"/>
      <c r="J237" s="265"/>
      <c r="K237" s="265"/>
      <c r="L237" s="265"/>
      <c r="M237" s="265"/>
      <c r="N237" s="265"/>
      <c r="O237" s="257"/>
      <c r="P237" s="270"/>
      <c r="Q237" s="271"/>
      <c r="R237" s="270"/>
      <c r="S237" s="280"/>
    </row>
    <row r="238" spans="1:19" ht="12.75" customHeight="1" thickBot="1" x14ac:dyDescent="0.4">
      <c r="A238" s="5" t="s">
        <v>75</v>
      </c>
      <c r="C238"/>
      <c r="D238" s="274"/>
      <c r="E238" s="263"/>
      <c r="F238" s="262"/>
      <c r="G238" s="263"/>
      <c r="H238" s="262"/>
      <c r="I238" s="275"/>
      <c r="J238" s="275"/>
      <c r="K238" s="275"/>
      <c r="L238" s="275"/>
      <c r="M238" s="275"/>
      <c r="N238" s="275"/>
      <c r="O238" s="263"/>
      <c r="P238" s="276"/>
      <c r="Q238" s="277"/>
      <c r="R238" s="276"/>
      <c r="S238" s="281"/>
    </row>
    <row r="253" spans="1:19" ht="23" thickBot="1" x14ac:dyDescent="0.5">
      <c r="C253"/>
      <c r="D253" s="11">
        <f>D203+1</f>
        <v>5</v>
      </c>
      <c r="E253" s="11"/>
      <c r="F253" s="14"/>
      <c r="G253" s="14"/>
      <c r="H253" s="14"/>
      <c r="I253" s="14"/>
      <c r="J253" s="14"/>
      <c r="K253" s="14"/>
      <c r="L253" s="14"/>
      <c r="M253" s="14"/>
      <c r="N253" s="14"/>
      <c r="O253" s="14"/>
      <c r="P253" s="14"/>
      <c r="Q253" s="14"/>
      <c r="R253" s="14"/>
      <c r="S253" s="14"/>
    </row>
    <row r="254" spans="1:19" ht="30" customHeight="1" thickBot="1" x14ac:dyDescent="0.4">
      <c r="A254" s="17" t="s">
        <v>57</v>
      </c>
      <c r="C254"/>
      <c r="D254" s="295" t="e">
        <f ca="1">"Hoshin Implementation Plan "&amp;#REF!&amp;"   -   Must Win Battle / Strategy:   "&amp;$L$2</f>
        <v>#REF!</v>
      </c>
      <c r="E254" s="296"/>
      <c r="F254" s="296"/>
      <c r="G254" s="297"/>
      <c r="H254" s="298" t="e">
        <f ca="1">"Work Stream:   "&amp;OFFSET($E$7,2*(D253+1)-1,0)&amp;" - "&amp;OFFSET($F$7,2*(D253+1)-1,0)</f>
        <v>#NAME?</v>
      </c>
      <c r="I254" s="296"/>
      <c r="J254" s="296"/>
      <c r="K254" s="296"/>
      <c r="L254" s="296"/>
      <c r="M254" s="296"/>
      <c r="N254" s="296"/>
      <c r="O254" s="296"/>
      <c r="P254" s="296"/>
      <c r="Q254" s="296"/>
      <c r="R254" s="296"/>
      <c r="S254" s="299"/>
    </row>
    <row r="255" spans="1:19" ht="26" x14ac:dyDescent="0.35">
      <c r="A255" s="17" t="s">
        <v>57</v>
      </c>
      <c r="C255"/>
      <c r="D255" s="240" t="s">
        <v>1</v>
      </c>
      <c r="E255" s="241"/>
      <c r="F255" s="241"/>
      <c r="G255" s="291"/>
      <c r="H255" s="292" t="s">
        <v>2</v>
      </c>
      <c r="I255" s="241"/>
      <c r="J255" s="291"/>
      <c r="K255" s="292" t="s">
        <v>3</v>
      </c>
      <c r="L255" s="241"/>
      <c r="M255" s="241"/>
      <c r="N255" s="241" t="s">
        <v>58</v>
      </c>
      <c r="O255" s="241"/>
      <c r="P255" s="291"/>
      <c r="Q255" s="293" t="s">
        <v>13</v>
      </c>
      <c r="R255" s="293"/>
      <c r="S255" s="294"/>
    </row>
    <row r="256" spans="1:19" ht="26.25" customHeight="1" x14ac:dyDescent="0.35">
      <c r="A256" s="17" t="s">
        <v>57</v>
      </c>
      <c r="C256"/>
      <c r="D256" s="229" t="e">
        <f>$D$4</f>
        <v>#REF!</v>
      </c>
      <c r="E256" s="230"/>
      <c r="F256" s="230"/>
      <c r="G256" s="230"/>
      <c r="H256" s="231" t="e">
        <f>$F$4</f>
        <v>#REF!</v>
      </c>
      <c r="I256" s="230"/>
      <c r="J256" s="232"/>
      <c r="K256" s="233" t="str">
        <f ca="1">OFFSET($G$7,2*(D253+1)-1,0)</f>
        <v>E</v>
      </c>
      <c r="L256" s="234"/>
      <c r="M256" s="235"/>
      <c r="N256" s="236" t="s">
        <v>6</v>
      </c>
      <c r="O256" s="237"/>
      <c r="P256" s="238"/>
      <c r="Q256" s="236" t="s">
        <v>6</v>
      </c>
      <c r="R256" s="237"/>
      <c r="S256" s="239"/>
    </row>
    <row r="257" spans="1:22" ht="26.5" thickBot="1" x14ac:dyDescent="0.4">
      <c r="A257" s="17" t="s">
        <v>57</v>
      </c>
      <c r="C257"/>
      <c r="D257" s="240" t="s">
        <v>7</v>
      </c>
      <c r="E257" s="241"/>
      <c r="F257" s="241"/>
      <c r="G257" s="241"/>
      <c r="H257" s="241"/>
      <c r="I257" s="241"/>
      <c r="J257" s="241"/>
      <c r="K257" s="241"/>
      <c r="L257" s="241"/>
      <c r="M257" s="241"/>
      <c r="N257" s="241"/>
      <c r="O257" s="241"/>
      <c r="P257" s="241"/>
      <c r="Q257" s="241"/>
      <c r="R257" s="241"/>
      <c r="S257" s="242"/>
    </row>
    <row r="258" spans="1:22" ht="26" x14ac:dyDescent="0.35">
      <c r="A258" s="17" t="s">
        <v>57</v>
      </c>
      <c r="C258"/>
      <c r="D258" s="224" t="s">
        <v>59</v>
      </c>
      <c r="E258" s="225"/>
      <c r="F258" s="225"/>
      <c r="G258" s="225"/>
      <c r="H258" s="225"/>
      <c r="I258" s="225"/>
      <c r="J258" s="225"/>
      <c r="K258" s="225"/>
      <c r="L258" s="225"/>
      <c r="M258" s="225"/>
      <c r="N258" s="225"/>
      <c r="O258" s="225"/>
      <c r="P258" s="225"/>
      <c r="Q258" s="225"/>
      <c r="R258" s="225"/>
      <c r="S258" s="226"/>
      <c r="U258" s="391" t="s">
        <v>16</v>
      </c>
      <c r="V258" s="392"/>
    </row>
    <row r="259" spans="1:22" ht="27" customHeight="1" thickBot="1" x14ac:dyDescent="0.4">
      <c r="A259" s="17" t="s">
        <v>57</v>
      </c>
      <c r="C259"/>
      <c r="D259" s="92" t="s">
        <v>60</v>
      </c>
      <c r="E259" s="227" t="s">
        <v>61</v>
      </c>
      <c r="F259" s="228"/>
      <c r="G259" s="93" t="s">
        <v>11</v>
      </c>
      <c r="H259" s="94" t="s">
        <v>62</v>
      </c>
      <c r="I259" s="94" t="s">
        <v>63</v>
      </c>
      <c r="J259" s="94" t="s">
        <v>64</v>
      </c>
      <c r="K259" s="94" t="s">
        <v>65</v>
      </c>
      <c r="L259" s="94" t="s">
        <v>66</v>
      </c>
      <c r="M259" s="94" t="s">
        <v>67</v>
      </c>
      <c r="N259" s="94" t="s">
        <v>68</v>
      </c>
      <c r="O259" s="94" t="s">
        <v>69</v>
      </c>
      <c r="P259" s="94" t="s">
        <v>70</v>
      </c>
      <c r="Q259" s="94" t="s">
        <v>71</v>
      </c>
      <c r="R259" s="94" t="s">
        <v>72</v>
      </c>
      <c r="S259" s="95" t="s">
        <v>73</v>
      </c>
      <c r="U259" s="287" t="s">
        <v>74</v>
      </c>
      <c r="V259" s="288"/>
    </row>
    <row r="260" spans="1:22" ht="15.75" customHeight="1" thickBot="1" x14ac:dyDescent="0.4">
      <c r="A260" s="8" t="s">
        <v>75</v>
      </c>
      <c r="C260"/>
      <c r="D260" s="250" t="s">
        <v>76</v>
      </c>
      <c r="E260" s="96" t="s">
        <v>77</v>
      </c>
      <c r="F260" s="97" t="s">
        <v>78</v>
      </c>
      <c r="G260" s="65"/>
      <c r="H260" s="66"/>
      <c r="I260" s="67"/>
      <c r="J260" s="67"/>
      <c r="K260" s="67"/>
      <c r="L260" s="67"/>
      <c r="M260" s="68"/>
      <c r="N260" s="68"/>
      <c r="O260" s="68"/>
      <c r="P260" s="68"/>
      <c r="Q260" s="68"/>
      <c r="R260" s="68"/>
      <c r="S260" s="69"/>
      <c r="U260" s="289"/>
      <c r="V260" s="290"/>
    </row>
    <row r="261" spans="1:22" ht="15" thickBot="1" x14ac:dyDescent="0.4">
      <c r="A261" s="8" t="s">
        <v>75</v>
      </c>
      <c r="C261"/>
      <c r="D261" s="251"/>
      <c r="E261" s="70" t="s">
        <v>79</v>
      </c>
      <c r="F261" s="71" t="s">
        <v>80</v>
      </c>
      <c r="G261" s="72"/>
      <c r="H261" s="73"/>
      <c r="I261" s="74"/>
      <c r="J261" s="74"/>
      <c r="K261" s="74"/>
      <c r="L261" s="74"/>
      <c r="M261" s="75"/>
      <c r="N261" s="75"/>
      <c r="O261" s="75"/>
      <c r="P261" s="75"/>
      <c r="Q261" s="75"/>
      <c r="R261" s="75"/>
      <c r="S261" s="76"/>
      <c r="U261" s="199">
        <v>0</v>
      </c>
      <c r="V261" s="200" t="s">
        <v>21</v>
      </c>
    </row>
    <row r="262" spans="1:22" ht="15" thickBot="1" x14ac:dyDescent="0.4">
      <c r="A262" s="8" t="s">
        <v>75</v>
      </c>
      <c r="C262"/>
      <c r="D262" s="251"/>
      <c r="E262" s="77" t="s">
        <v>81</v>
      </c>
      <c r="F262" s="78" t="s">
        <v>82</v>
      </c>
      <c r="G262" s="79"/>
      <c r="H262" s="80"/>
      <c r="I262" s="81"/>
      <c r="J262" s="81"/>
      <c r="K262" s="81"/>
      <c r="L262" s="81"/>
      <c r="M262" s="82"/>
      <c r="N262" s="83"/>
      <c r="O262" s="83"/>
      <c r="P262" s="83"/>
      <c r="Q262" s="83"/>
      <c r="R262" s="83"/>
      <c r="S262" s="84"/>
      <c r="U262" s="33">
        <v>1</v>
      </c>
      <c r="V262" s="201" t="s">
        <v>22</v>
      </c>
    </row>
    <row r="263" spans="1:22" ht="15" thickBot="1" x14ac:dyDescent="0.4">
      <c r="A263" s="8" t="s">
        <v>75</v>
      </c>
      <c r="C263"/>
      <c r="D263" s="251"/>
      <c r="E263" s="77" t="s">
        <v>83</v>
      </c>
      <c r="F263" s="78" t="s">
        <v>84</v>
      </c>
      <c r="G263" s="79"/>
      <c r="H263" s="80"/>
      <c r="I263" s="81"/>
      <c r="J263" s="81"/>
      <c r="K263" s="81"/>
      <c r="L263" s="81"/>
      <c r="M263" s="83"/>
      <c r="N263" s="83"/>
      <c r="O263" s="83"/>
      <c r="P263" s="83"/>
      <c r="Q263" s="83"/>
      <c r="R263" s="83"/>
      <c r="S263" s="84"/>
      <c r="U263" s="41">
        <v>2</v>
      </c>
      <c r="V263" s="202" t="s">
        <v>25</v>
      </c>
    </row>
    <row r="264" spans="1:22" ht="15" thickBot="1" x14ac:dyDescent="0.4">
      <c r="A264" s="5" t="s">
        <v>75</v>
      </c>
      <c r="C264"/>
      <c r="D264" s="251"/>
      <c r="E264" s="77" t="s">
        <v>85</v>
      </c>
      <c r="F264" s="78" t="s">
        <v>86</v>
      </c>
      <c r="G264" s="79"/>
      <c r="H264" s="80"/>
      <c r="I264" s="81"/>
      <c r="J264" s="81"/>
      <c r="K264" s="81"/>
      <c r="L264" s="81"/>
      <c r="M264" s="83"/>
      <c r="N264" s="83"/>
      <c r="O264" s="83"/>
      <c r="P264" s="83"/>
      <c r="Q264" s="83"/>
      <c r="R264" s="83"/>
      <c r="S264" s="84"/>
      <c r="U264" s="38">
        <v>3</v>
      </c>
      <c r="V264" s="203" t="s">
        <v>26</v>
      </c>
    </row>
    <row r="265" spans="1:22" ht="15" thickBot="1" x14ac:dyDescent="0.4">
      <c r="A265" s="5" t="s">
        <v>75</v>
      </c>
      <c r="C265"/>
      <c r="D265" s="252"/>
      <c r="E265" s="77" t="s">
        <v>87</v>
      </c>
      <c r="F265" s="78" t="s">
        <v>88</v>
      </c>
      <c r="G265" s="79"/>
      <c r="H265" s="80"/>
      <c r="I265" s="81"/>
      <c r="J265" s="81"/>
      <c r="K265" s="81"/>
      <c r="L265" s="81"/>
      <c r="M265" s="83"/>
      <c r="N265" s="83"/>
      <c r="O265" s="83"/>
      <c r="P265" s="83"/>
      <c r="Q265" s="83"/>
      <c r="R265" s="83"/>
      <c r="S265" s="84"/>
      <c r="U265" s="35">
        <v>4</v>
      </c>
      <c r="V265" s="204" t="s">
        <v>29</v>
      </c>
    </row>
    <row r="266" spans="1:22" ht="15" thickBot="1" x14ac:dyDescent="0.4">
      <c r="A266" s="5" t="s">
        <v>75</v>
      </c>
      <c r="C266"/>
      <c r="D266" s="253" t="s">
        <v>37</v>
      </c>
      <c r="E266" s="77" t="s">
        <v>89</v>
      </c>
      <c r="F266" s="78" t="s">
        <v>90</v>
      </c>
      <c r="G266" s="79"/>
      <c r="H266" s="80"/>
      <c r="I266" s="81"/>
      <c r="J266" s="81"/>
      <c r="K266" s="81"/>
      <c r="L266" s="81"/>
      <c r="M266" s="83"/>
      <c r="N266" s="83"/>
      <c r="O266" s="83"/>
      <c r="P266" s="83"/>
      <c r="Q266" s="83"/>
      <c r="R266" s="83"/>
      <c r="S266" s="84"/>
      <c r="U266" s="46">
        <v>5</v>
      </c>
      <c r="V266" s="60" t="s">
        <v>30</v>
      </c>
    </row>
    <row r="267" spans="1:22" ht="15" thickBot="1" x14ac:dyDescent="0.4">
      <c r="A267" s="5" t="s">
        <v>75</v>
      </c>
      <c r="C267"/>
      <c r="D267" s="253"/>
      <c r="E267" s="77" t="s">
        <v>91</v>
      </c>
      <c r="F267" s="78" t="s">
        <v>92</v>
      </c>
      <c r="G267" s="79"/>
      <c r="H267" s="80"/>
      <c r="I267" s="81"/>
      <c r="J267" s="81"/>
      <c r="K267" s="81"/>
      <c r="L267" s="81"/>
      <c r="M267" s="83"/>
      <c r="N267" s="83"/>
      <c r="O267" s="83"/>
      <c r="P267" s="83"/>
      <c r="Q267" s="83"/>
      <c r="R267" s="83"/>
      <c r="S267" s="84"/>
    </row>
    <row r="268" spans="1:22" ht="15.75" customHeight="1" thickBot="1" x14ac:dyDescent="0.4">
      <c r="A268" s="5" t="s">
        <v>75</v>
      </c>
      <c r="C268"/>
      <c r="D268" s="243" t="s">
        <v>93</v>
      </c>
      <c r="E268" s="77" t="s">
        <v>94</v>
      </c>
      <c r="F268" s="78" t="s">
        <v>95</v>
      </c>
      <c r="G268" s="79"/>
      <c r="H268" s="80"/>
      <c r="I268" s="81"/>
      <c r="J268" s="81"/>
      <c r="K268" s="81"/>
      <c r="L268" s="81"/>
      <c r="M268" s="83"/>
      <c r="N268" s="83"/>
      <c r="O268" s="83"/>
      <c r="P268" s="83"/>
      <c r="Q268" s="83"/>
      <c r="R268" s="83"/>
      <c r="S268" s="84"/>
    </row>
    <row r="269" spans="1:22" ht="15" thickBot="1" x14ac:dyDescent="0.4">
      <c r="A269" s="5" t="s">
        <v>75</v>
      </c>
      <c r="C269"/>
      <c r="D269" s="244"/>
      <c r="E269" s="77" t="s">
        <v>96</v>
      </c>
      <c r="F269" s="78" t="s">
        <v>97</v>
      </c>
      <c r="G269" s="79"/>
      <c r="H269" s="80"/>
      <c r="I269" s="81"/>
      <c r="J269" s="81"/>
      <c r="K269" s="81"/>
      <c r="L269" s="81"/>
      <c r="M269" s="83"/>
      <c r="N269" s="83"/>
      <c r="O269" s="83"/>
      <c r="P269" s="83"/>
      <c r="Q269" s="83"/>
      <c r="R269" s="83"/>
      <c r="S269" s="84"/>
    </row>
    <row r="270" spans="1:22" ht="15" thickBot="1" x14ac:dyDescent="0.4">
      <c r="A270" s="5" t="s">
        <v>75</v>
      </c>
      <c r="C270"/>
      <c r="D270" s="245" t="s">
        <v>98</v>
      </c>
      <c r="E270" s="77" t="s">
        <v>99</v>
      </c>
      <c r="F270" s="78" t="s">
        <v>100</v>
      </c>
      <c r="G270" s="79"/>
      <c r="H270" s="80"/>
      <c r="I270" s="81"/>
      <c r="J270" s="81"/>
      <c r="K270" s="81"/>
      <c r="L270" s="81"/>
      <c r="M270" s="83"/>
      <c r="N270" s="83"/>
      <c r="O270" s="83"/>
      <c r="P270" s="83"/>
      <c r="Q270" s="83"/>
      <c r="R270" s="83"/>
      <c r="S270" s="84"/>
    </row>
    <row r="271" spans="1:22" ht="15" thickBot="1" x14ac:dyDescent="0.4">
      <c r="A271" s="5" t="s">
        <v>75</v>
      </c>
      <c r="C271"/>
      <c r="D271" s="246"/>
      <c r="E271" s="77" t="s">
        <v>101</v>
      </c>
      <c r="F271" s="78" t="s">
        <v>102</v>
      </c>
      <c r="G271" s="79"/>
      <c r="H271" s="80"/>
      <c r="I271" s="81"/>
      <c r="J271" s="81"/>
      <c r="K271" s="81"/>
      <c r="L271" s="81"/>
      <c r="M271" s="83"/>
      <c r="N271" s="83"/>
      <c r="O271" s="83"/>
      <c r="P271" s="83"/>
      <c r="Q271" s="83"/>
      <c r="R271" s="83"/>
      <c r="S271" s="84"/>
    </row>
    <row r="272" spans="1:22" ht="15" thickBot="1" x14ac:dyDescent="0.4">
      <c r="A272" s="5" t="s">
        <v>75</v>
      </c>
      <c r="C272"/>
      <c r="D272" s="245" t="s">
        <v>103</v>
      </c>
      <c r="E272" s="77" t="s">
        <v>104</v>
      </c>
      <c r="F272" s="78" t="s">
        <v>105</v>
      </c>
      <c r="G272" s="79"/>
      <c r="H272" s="80"/>
      <c r="I272" s="81"/>
      <c r="J272" s="81"/>
      <c r="K272" s="81"/>
      <c r="L272" s="81"/>
      <c r="M272" s="83"/>
      <c r="N272" s="83"/>
      <c r="O272" s="83"/>
      <c r="P272" s="83"/>
      <c r="Q272" s="83"/>
      <c r="R272" s="83"/>
      <c r="S272" s="84"/>
    </row>
    <row r="273" spans="1:19" ht="15" thickBot="1" x14ac:dyDescent="0.4">
      <c r="A273" s="5" t="s">
        <v>75</v>
      </c>
      <c r="C273"/>
      <c r="D273" s="246"/>
      <c r="E273" s="77" t="s">
        <v>106</v>
      </c>
      <c r="F273" s="78" t="s">
        <v>107</v>
      </c>
      <c r="G273" s="79"/>
      <c r="H273" s="80"/>
      <c r="I273" s="81"/>
      <c r="J273" s="81"/>
      <c r="K273" s="81"/>
      <c r="L273" s="81"/>
      <c r="M273" s="83"/>
      <c r="N273" s="83"/>
      <c r="O273" s="83"/>
      <c r="P273" s="83"/>
      <c r="Q273" s="83"/>
      <c r="R273" s="83"/>
      <c r="S273" s="84"/>
    </row>
    <row r="274" spans="1:19" ht="15" thickBot="1" x14ac:dyDescent="0.4">
      <c r="A274" s="5" t="s">
        <v>75</v>
      </c>
      <c r="C274"/>
      <c r="D274" s="245" t="s">
        <v>108</v>
      </c>
      <c r="E274" s="77" t="s">
        <v>109</v>
      </c>
      <c r="F274" s="78" t="s">
        <v>110</v>
      </c>
      <c r="G274" s="79"/>
      <c r="H274" s="80"/>
      <c r="I274" s="81"/>
      <c r="J274" s="81"/>
      <c r="K274" s="81"/>
      <c r="L274" s="81"/>
      <c r="M274" s="83"/>
      <c r="N274" s="83"/>
      <c r="O274" s="83"/>
      <c r="P274" s="83"/>
      <c r="Q274" s="83"/>
      <c r="R274" s="83"/>
      <c r="S274" s="84"/>
    </row>
    <row r="275" spans="1:19" ht="15" thickBot="1" x14ac:dyDescent="0.4">
      <c r="A275" s="5" t="s">
        <v>75</v>
      </c>
      <c r="C275"/>
      <c r="D275" s="244"/>
      <c r="E275" s="85" t="s">
        <v>111</v>
      </c>
      <c r="F275" s="86" t="s">
        <v>112</v>
      </c>
      <c r="G275" s="87"/>
      <c r="H275" s="88"/>
      <c r="I275" s="89"/>
      <c r="J275" s="89"/>
      <c r="K275" s="89"/>
      <c r="L275" s="89"/>
      <c r="M275" s="90"/>
      <c r="N275" s="90"/>
      <c r="O275" s="90"/>
      <c r="P275" s="90"/>
      <c r="Q275" s="90"/>
      <c r="R275" s="90"/>
      <c r="S275" s="91"/>
    </row>
    <row r="276" spans="1:19" ht="23.25" customHeight="1" thickBot="1" x14ac:dyDescent="0.4">
      <c r="A276" s="5" t="s">
        <v>75</v>
      </c>
      <c r="C276"/>
      <c r="D276" s="98" t="s">
        <v>113</v>
      </c>
      <c r="E276" s="98"/>
      <c r="F276" s="98" t="s">
        <v>114</v>
      </c>
      <c r="G276" s="99"/>
      <c r="H276" s="247" t="s">
        <v>115</v>
      </c>
      <c r="I276" s="248"/>
      <c r="J276" s="248"/>
      <c r="K276" s="248"/>
      <c r="L276" s="248"/>
      <c r="M276" s="248"/>
      <c r="N276" s="248"/>
      <c r="O276" s="249"/>
      <c r="P276" s="247" t="s">
        <v>116</v>
      </c>
      <c r="Q276" s="248"/>
      <c r="R276" s="248" t="s">
        <v>117</v>
      </c>
      <c r="S276" s="249"/>
    </row>
    <row r="277" spans="1:19" ht="12.75" customHeight="1" x14ac:dyDescent="0.35">
      <c r="A277" s="5" t="s">
        <v>75</v>
      </c>
      <c r="C277"/>
      <c r="D277" s="254" t="s">
        <v>118</v>
      </c>
      <c r="E277" s="255"/>
      <c r="F277" s="260" t="s">
        <v>119</v>
      </c>
      <c r="G277" s="255"/>
      <c r="H277" s="260" t="s">
        <v>120</v>
      </c>
      <c r="I277" s="264"/>
      <c r="J277" s="264"/>
      <c r="K277" s="264"/>
      <c r="L277" s="264"/>
      <c r="M277" s="264"/>
      <c r="N277" s="264"/>
      <c r="O277" s="255"/>
      <c r="P277" s="268" t="s">
        <v>11</v>
      </c>
      <c r="Q277" s="282"/>
      <c r="R277" s="268" t="s">
        <v>121</v>
      </c>
      <c r="S277" s="285"/>
    </row>
    <row r="278" spans="1:19" ht="12.75" customHeight="1" x14ac:dyDescent="0.35">
      <c r="A278" s="5" t="s">
        <v>75</v>
      </c>
      <c r="C278"/>
      <c r="D278" s="256"/>
      <c r="E278" s="257"/>
      <c r="F278" s="261"/>
      <c r="G278" s="257"/>
      <c r="H278" s="261"/>
      <c r="I278" s="265"/>
      <c r="J278" s="265"/>
      <c r="K278" s="265"/>
      <c r="L278" s="265"/>
      <c r="M278" s="265"/>
      <c r="N278" s="265"/>
      <c r="O278" s="257"/>
      <c r="P278" s="270"/>
      <c r="Q278" s="283"/>
      <c r="R278" s="270"/>
      <c r="S278" s="280"/>
    </row>
    <row r="279" spans="1:19" ht="12.75" customHeight="1" x14ac:dyDescent="0.35">
      <c r="A279" s="5" t="s">
        <v>75</v>
      </c>
      <c r="C279"/>
      <c r="D279" s="256"/>
      <c r="E279" s="257"/>
      <c r="F279" s="261"/>
      <c r="G279" s="257"/>
      <c r="H279" s="261"/>
      <c r="I279" s="265"/>
      <c r="J279" s="265"/>
      <c r="K279" s="265"/>
      <c r="L279" s="265"/>
      <c r="M279" s="265"/>
      <c r="N279" s="265"/>
      <c r="O279" s="257"/>
      <c r="P279" s="270"/>
      <c r="Q279" s="283"/>
      <c r="R279" s="270"/>
      <c r="S279" s="280"/>
    </row>
    <row r="280" spans="1:19" ht="12.75" customHeight="1" thickBot="1" x14ac:dyDescent="0.4">
      <c r="A280" s="5" t="s">
        <v>75</v>
      </c>
      <c r="C280"/>
      <c r="D280" s="258"/>
      <c r="E280" s="259"/>
      <c r="F280" s="262"/>
      <c r="G280" s="263"/>
      <c r="H280" s="266"/>
      <c r="I280" s="267"/>
      <c r="J280" s="267"/>
      <c r="K280" s="267"/>
      <c r="L280" s="267"/>
      <c r="M280" s="267"/>
      <c r="N280" s="267"/>
      <c r="O280" s="259"/>
      <c r="P280" s="272"/>
      <c r="Q280" s="284"/>
      <c r="R280" s="272"/>
      <c r="S280" s="286"/>
    </row>
    <row r="281" spans="1:19" ht="12.75" customHeight="1" x14ac:dyDescent="0.35">
      <c r="A281" s="5" t="s">
        <v>75</v>
      </c>
      <c r="C281"/>
      <c r="D281" s="254" t="s">
        <v>118</v>
      </c>
      <c r="E281" s="255"/>
      <c r="F281" s="260" t="s">
        <v>119</v>
      </c>
      <c r="G281" s="255"/>
      <c r="H281" s="260" t="s">
        <v>120</v>
      </c>
      <c r="I281" s="264"/>
      <c r="J281" s="264"/>
      <c r="K281" s="264"/>
      <c r="L281" s="264"/>
      <c r="M281" s="264"/>
      <c r="N281" s="264"/>
      <c r="O281" s="255"/>
      <c r="P281" s="268" t="s">
        <v>11</v>
      </c>
      <c r="Q281" s="269"/>
      <c r="R281" s="278" t="s">
        <v>121</v>
      </c>
      <c r="S281" s="279"/>
    </row>
    <row r="282" spans="1:19" ht="12.75" customHeight="1" x14ac:dyDescent="0.35">
      <c r="A282" s="5" t="s">
        <v>75</v>
      </c>
      <c r="C282"/>
      <c r="D282" s="256"/>
      <c r="E282" s="257"/>
      <c r="F282" s="261"/>
      <c r="G282" s="257"/>
      <c r="H282" s="261"/>
      <c r="I282" s="265"/>
      <c r="J282" s="265"/>
      <c r="K282" s="265"/>
      <c r="L282" s="265"/>
      <c r="M282" s="265"/>
      <c r="N282" s="265"/>
      <c r="O282" s="257"/>
      <c r="P282" s="270"/>
      <c r="Q282" s="271"/>
      <c r="R282" s="270"/>
      <c r="S282" s="280"/>
    </row>
    <row r="283" spans="1:19" ht="12.75" customHeight="1" x14ac:dyDescent="0.35">
      <c r="A283" s="5" t="s">
        <v>75</v>
      </c>
      <c r="C283"/>
      <c r="D283" s="256"/>
      <c r="E283" s="257"/>
      <c r="F283" s="261"/>
      <c r="G283" s="257"/>
      <c r="H283" s="261"/>
      <c r="I283" s="265"/>
      <c r="J283" s="265"/>
      <c r="K283" s="265"/>
      <c r="L283" s="265"/>
      <c r="M283" s="265"/>
      <c r="N283" s="265"/>
      <c r="O283" s="257"/>
      <c r="P283" s="270"/>
      <c r="Q283" s="271"/>
      <c r="R283" s="270"/>
      <c r="S283" s="280"/>
    </row>
    <row r="284" spans="1:19" ht="12.75" customHeight="1" thickBot="1" x14ac:dyDescent="0.4">
      <c r="A284" s="5" t="s">
        <v>75</v>
      </c>
      <c r="C284"/>
      <c r="D284" s="258"/>
      <c r="E284" s="259"/>
      <c r="F284" s="262"/>
      <c r="G284" s="263"/>
      <c r="H284" s="266"/>
      <c r="I284" s="267"/>
      <c r="J284" s="267"/>
      <c r="K284" s="267"/>
      <c r="L284" s="267"/>
      <c r="M284" s="267"/>
      <c r="N284" s="267"/>
      <c r="O284" s="259"/>
      <c r="P284" s="272"/>
      <c r="Q284" s="273"/>
      <c r="R284" s="272"/>
      <c r="S284" s="286"/>
    </row>
    <row r="285" spans="1:19" ht="12.75" customHeight="1" x14ac:dyDescent="0.35">
      <c r="A285" s="5" t="s">
        <v>75</v>
      </c>
      <c r="C285"/>
      <c r="D285" s="254" t="s">
        <v>118</v>
      </c>
      <c r="E285" s="255"/>
      <c r="F285" s="260" t="s">
        <v>119</v>
      </c>
      <c r="G285" s="255"/>
      <c r="H285" s="260" t="s">
        <v>120</v>
      </c>
      <c r="I285" s="264"/>
      <c r="J285" s="264"/>
      <c r="K285" s="264"/>
      <c r="L285" s="264"/>
      <c r="M285" s="264"/>
      <c r="N285" s="264"/>
      <c r="O285" s="255"/>
      <c r="P285" s="268" t="s">
        <v>11</v>
      </c>
      <c r="Q285" s="269"/>
      <c r="R285" s="278" t="s">
        <v>121</v>
      </c>
      <c r="S285" s="279"/>
    </row>
    <row r="286" spans="1:19" ht="12.75" customHeight="1" x14ac:dyDescent="0.35">
      <c r="A286" s="5" t="s">
        <v>75</v>
      </c>
      <c r="C286"/>
      <c r="D286" s="256"/>
      <c r="E286" s="257"/>
      <c r="F286" s="261"/>
      <c r="G286" s="257"/>
      <c r="H286" s="261"/>
      <c r="I286" s="265"/>
      <c r="J286" s="265"/>
      <c r="K286" s="265"/>
      <c r="L286" s="265"/>
      <c r="M286" s="265"/>
      <c r="N286" s="265"/>
      <c r="O286" s="257"/>
      <c r="P286" s="270"/>
      <c r="Q286" s="271"/>
      <c r="R286" s="270"/>
      <c r="S286" s="280"/>
    </row>
    <row r="287" spans="1:19" ht="12.75" customHeight="1" x14ac:dyDescent="0.35">
      <c r="A287" s="5" t="s">
        <v>75</v>
      </c>
      <c r="C287"/>
      <c r="D287" s="256"/>
      <c r="E287" s="257"/>
      <c r="F287" s="261"/>
      <c r="G287" s="257"/>
      <c r="H287" s="261"/>
      <c r="I287" s="265"/>
      <c r="J287" s="265"/>
      <c r="K287" s="265"/>
      <c r="L287" s="265"/>
      <c r="M287" s="265"/>
      <c r="N287" s="265"/>
      <c r="O287" s="257"/>
      <c r="P287" s="270"/>
      <c r="Q287" s="271"/>
      <c r="R287" s="270"/>
      <c r="S287" s="280"/>
    </row>
    <row r="288" spans="1:19" ht="12.75" customHeight="1" thickBot="1" x14ac:dyDescent="0.4">
      <c r="A288" s="5" t="s">
        <v>75</v>
      </c>
      <c r="C288"/>
      <c r="D288" s="274"/>
      <c r="E288" s="263"/>
      <c r="F288" s="262"/>
      <c r="G288" s="263"/>
      <c r="H288" s="262"/>
      <c r="I288" s="275"/>
      <c r="J288" s="275"/>
      <c r="K288" s="275"/>
      <c r="L288" s="275"/>
      <c r="M288" s="275"/>
      <c r="N288" s="275"/>
      <c r="O288" s="263"/>
      <c r="P288" s="276"/>
      <c r="Q288" s="277"/>
      <c r="R288" s="276"/>
      <c r="S288" s="281"/>
    </row>
    <row r="303" spans="1:19" ht="23" thickBot="1" x14ac:dyDescent="0.5">
      <c r="C303"/>
      <c r="D303" s="11">
        <f>D253+1</f>
        <v>6</v>
      </c>
      <c r="E303" s="11"/>
      <c r="F303" s="14"/>
      <c r="G303" s="14"/>
      <c r="H303" s="14"/>
      <c r="I303" s="14"/>
      <c r="J303" s="14"/>
      <c r="K303" s="14"/>
      <c r="L303" s="14"/>
      <c r="M303" s="14"/>
      <c r="N303" s="14"/>
      <c r="O303" s="14"/>
      <c r="P303" s="14"/>
      <c r="Q303" s="14"/>
      <c r="R303" s="14"/>
      <c r="S303" s="14"/>
    </row>
    <row r="304" spans="1:19" ht="30" customHeight="1" thickBot="1" x14ac:dyDescent="0.4">
      <c r="A304" s="17" t="s">
        <v>57</v>
      </c>
      <c r="C304"/>
      <c r="D304" s="295" t="e">
        <f ca="1">"Hoshin Implementation Plan "&amp;#REF!&amp;"   -   Must Win Battle / Strategy:   "&amp;$L$2</f>
        <v>#REF!</v>
      </c>
      <c r="E304" s="296"/>
      <c r="F304" s="296"/>
      <c r="G304" s="297"/>
      <c r="H304" s="298" t="e">
        <f ca="1">"Work Stream:   "&amp;OFFSET($E$7,2*(D303+1)-1,0)&amp;" - "&amp;OFFSET($F$7,2*(D303+1)-1,0)</f>
        <v>#NAME?</v>
      </c>
      <c r="I304" s="296"/>
      <c r="J304" s="296"/>
      <c r="K304" s="296"/>
      <c r="L304" s="296"/>
      <c r="M304" s="296"/>
      <c r="N304" s="296"/>
      <c r="O304" s="296"/>
      <c r="P304" s="296"/>
      <c r="Q304" s="296"/>
      <c r="R304" s="296"/>
      <c r="S304" s="299"/>
    </row>
    <row r="305" spans="1:22" ht="26" x14ac:dyDescent="0.35">
      <c r="A305" s="17" t="s">
        <v>57</v>
      </c>
      <c r="C305"/>
      <c r="D305" s="240" t="s">
        <v>1</v>
      </c>
      <c r="E305" s="241"/>
      <c r="F305" s="241"/>
      <c r="G305" s="291"/>
      <c r="H305" s="292" t="s">
        <v>2</v>
      </c>
      <c r="I305" s="241"/>
      <c r="J305" s="291"/>
      <c r="K305" s="292" t="s">
        <v>3</v>
      </c>
      <c r="L305" s="241"/>
      <c r="M305" s="241"/>
      <c r="N305" s="241" t="s">
        <v>58</v>
      </c>
      <c r="O305" s="241"/>
      <c r="P305" s="291"/>
      <c r="Q305" s="293" t="s">
        <v>13</v>
      </c>
      <c r="R305" s="293"/>
      <c r="S305" s="294"/>
    </row>
    <row r="306" spans="1:22" ht="26.25" customHeight="1" x14ac:dyDescent="0.35">
      <c r="A306" s="17" t="s">
        <v>57</v>
      </c>
      <c r="C306"/>
      <c r="D306" s="229" t="e">
        <f>$D$4</f>
        <v>#REF!</v>
      </c>
      <c r="E306" s="230"/>
      <c r="F306" s="230"/>
      <c r="G306" s="230"/>
      <c r="H306" s="231" t="e">
        <f>$F$4</f>
        <v>#REF!</v>
      </c>
      <c r="I306" s="230"/>
      <c r="J306" s="232"/>
      <c r="K306" s="233" t="str">
        <f ca="1">OFFSET($G$7,2*(D303+1)-1,0)</f>
        <v>F</v>
      </c>
      <c r="L306" s="234"/>
      <c r="M306" s="235"/>
      <c r="N306" s="236" t="s">
        <v>6</v>
      </c>
      <c r="O306" s="237"/>
      <c r="P306" s="238"/>
      <c r="Q306" s="236" t="s">
        <v>6</v>
      </c>
      <c r="R306" s="237"/>
      <c r="S306" s="239"/>
    </row>
    <row r="307" spans="1:22" ht="26.5" thickBot="1" x14ac:dyDescent="0.4">
      <c r="A307" s="17" t="s">
        <v>57</v>
      </c>
      <c r="C307"/>
      <c r="D307" s="240" t="s">
        <v>7</v>
      </c>
      <c r="E307" s="241"/>
      <c r="F307" s="241"/>
      <c r="G307" s="241"/>
      <c r="H307" s="241"/>
      <c r="I307" s="241"/>
      <c r="J307" s="241"/>
      <c r="K307" s="241"/>
      <c r="L307" s="241"/>
      <c r="M307" s="241"/>
      <c r="N307" s="241"/>
      <c r="O307" s="241"/>
      <c r="P307" s="241"/>
      <c r="Q307" s="241"/>
      <c r="R307" s="241"/>
      <c r="S307" s="242"/>
    </row>
    <row r="308" spans="1:22" ht="26" x14ac:dyDescent="0.35">
      <c r="A308" s="17" t="s">
        <v>57</v>
      </c>
      <c r="C308"/>
      <c r="D308" s="224" t="s">
        <v>59</v>
      </c>
      <c r="E308" s="225"/>
      <c r="F308" s="225"/>
      <c r="G308" s="225"/>
      <c r="H308" s="225"/>
      <c r="I308" s="225"/>
      <c r="J308" s="225"/>
      <c r="K308" s="225"/>
      <c r="L308" s="225"/>
      <c r="M308" s="225"/>
      <c r="N308" s="225"/>
      <c r="O308" s="225"/>
      <c r="P308" s="225"/>
      <c r="Q308" s="225"/>
      <c r="R308" s="225"/>
      <c r="S308" s="226"/>
      <c r="U308" s="391" t="s">
        <v>16</v>
      </c>
      <c r="V308" s="392"/>
    </row>
    <row r="309" spans="1:22" ht="27" customHeight="1" thickBot="1" x14ac:dyDescent="0.4">
      <c r="A309" s="17" t="s">
        <v>57</v>
      </c>
      <c r="C309"/>
      <c r="D309" s="92" t="s">
        <v>60</v>
      </c>
      <c r="E309" s="227" t="s">
        <v>61</v>
      </c>
      <c r="F309" s="228"/>
      <c r="G309" s="93" t="s">
        <v>11</v>
      </c>
      <c r="H309" s="94" t="s">
        <v>62</v>
      </c>
      <c r="I309" s="94" t="s">
        <v>63</v>
      </c>
      <c r="J309" s="94" t="s">
        <v>64</v>
      </c>
      <c r="K309" s="94" t="s">
        <v>65</v>
      </c>
      <c r="L309" s="94" t="s">
        <v>66</v>
      </c>
      <c r="M309" s="94" t="s">
        <v>67</v>
      </c>
      <c r="N309" s="94" t="s">
        <v>68</v>
      </c>
      <c r="O309" s="94" t="s">
        <v>69</v>
      </c>
      <c r="P309" s="94" t="s">
        <v>70</v>
      </c>
      <c r="Q309" s="94" t="s">
        <v>71</v>
      </c>
      <c r="R309" s="94" t="s">
        <v>72</v>
      </c>
      <c r="S309" s="95" t="s">
        <v>73</v>
      </c>
      <c r="U309" s="287" t="s">
        <v>74</v>
      </c>
      <c r="V309" s="288"/>
    </row>
    <row r="310" spans="1:22" ht="15.75" customHeight="1" thickBot="1" x14ac:dyDescent="0.4">
      <c r="A310" s="8" t="s">
        <v>75</v>
      </c>
      <c r="C310"/>
      <c r="D310" s="250" t="s">
        <v>76</v>
      </c>
      <c r="E310" s="96" t="s">
        <v>77</v>
      </c>
      <c r="F310" s="97" t="s">
        <v>78</v>
      </c>
      <c r="G310" s="65"/>
      <c r="H310" s="66"/>
      <c r="I310" s="67"/>
      <c r="J310" s="67"/>
      <c r="K310" s="67"/>
      <c r="L310" s="67"/>
      <c r="M310" s="68"/>
      <c r="N310" s="68"/>
      <c r="O310" s="68"/>
      <c r="P310" s="68"/>
      <c r="Q310" s="68"/>
      <c r="R310" s="68"/>
      <c r="S310" s="69"/>
      <c r="U310" s="289"/>
      <c r="V310" s="290"/>
    </row>
    <row r="311" spans="1:22" ht="15" thickBot="1" x14ac:dyDescent="0.4">
      <c r="A311" s="8" t="s">
        <v>75</v>
      </c>
      <c r="C311"/>
      <c r="D311" s="251"/>
      <c r="E311" s="70" t="s">
        <v>79</v>
      </c>
      <c r="F311" s="71" t="s">
        <v>80</v>
      </c>
      <c r="G311" s="72"/>
      <c r="H311" s="73"/>
      <c r="I311" s="74"/>
      <c r="J311" s="74"/>
      <c r="K311" s="74"/>
      <c r="L311" s="74"/>
      <c r="M311" s="75"/>
      <c r="N311" s="75"/>
      <c r="O311" s="75"/>
      <c r="P311" s="75"/>
      <c r="Q311" s="75"/>
      <c r="R311" s="75"/>
      <c r="S311" s="76"/>
      <c r="U311" s="199">
        <v>0</v>
      </c>
      <c r="V311" s="200" t="s">
        <v>21</v>
      </c>
    </row>
    <row r="312" spans="1:22" ht="15" thickBot="1" x14ac:dyDescent="0.4">
      <c r="A312" s="8" t="s">
        <v>75</v>
      </c>
      <c r="C312"/>
      <c r="D312" s="251"/>
      <c r="E312" s="77" t="s">
        <v>81</v>
      </c>
      <c r="F312" s="78" t="s">
        <v>82</v>
      </c>
      <c r="G312" s="79"/>
      <c r="H312" s="80"/>
      <c r="I312" s="81"/>
      <c r="J312" s="81"/>
      <c r="K312" s="81"/>
      <c r="L312" s="81"/>
      <c r="M312" s="82"/>
      <c r="N312" s="83"/>
      <c r="O312" s="83"/>
      <c r="P312" s="83"/>
      <c r="Q312" s="83"/>
      <c r="R312" s="83"/>
      <c r="S312" s="84"/>
      <c r="U312" s="33">
        <v>1</v>
      </c>
      <c r="V312" s="201" t="s">
        <v>22</v>
      </c>
    </row>
    <row r="313" spans="1:22" ht="15" thickBot="1" x14ac:dyDescent="0.4">
      <c r="A313" s="8" t="s">
        <v>75</v>
      </c>
      <c r="C313"/>
      <c r="D313" s="251"/>
      <c r="E313" s="77" t="s">
        <v>83</v>
      </c>
      <c r="F313" s="78" t="s">
        <v>84</v>
      </c>
      <c r="G313" s="79"/>
      <c r="H313" s="80"/>
      <c r="I313" s="81"/>
      <c r="J313" s="81"/>
      <c r="K313" s="81"/>
      <c r="L313" s="81"/>
      <c r="M313" s="83"/>
      <c r="N313" s="83"/>
      <c r="O313" s="83"/>
      <c r="P313" s="83"/>
      <c r="Q313" s="83"/>
      <c r="R313" s="83"/>
      <c r="S313" s="84"/>
      <c r="U313" s="41">
        <v>2</v>
      </c>
      <c r="V313" s="202" t="s">
        <v>25</v>
      </c>
    </row>
    <row r="314" spans="1:22" ht="15" thickBot="1" x14ac:dyDescent="0.4">
      <c r="A314" s="5" t="s">
        <v>75</v>
      </c>
      <c r="C314"/>
      <c r="D314" s="251"/>
      <c r="E314" s="77" t="s">
        <v>85</v>
      </c>
      <c r="F314" s="78" t="s">
        <v>86</v>
      </c>
      <c r="G314" s="79"/>
      <c r="H314" s="80"/>
      <c r="I314" s="81"/>
      <c r="J314" s="81"/>
      <c r="K314" s="81"/>
      <c r="L314" s="81"/>
      <c r="M314" s="83"/>
      <c r="N314" s="83"/>
      <c r="O314" s="83"/>
      <c r="P314" s="83"/>
      <c r="Q314" s="83"/>
      <c r="R314" s="83"/>
      <c r="S314" s="84"/>
      <c r="U314" s="38">
        <v>3</v>
      </c>
      <c r="V314" s="203" t="s">
        <v>26</v>
      </c>
    </row>
    <row r="315" spans="1:22" ht="15" thickBot="1" x14ac:dyDescent="0.4">
      <c r="A315" s="5" t="s">
        <v>75</v>
      </c>
      <c r="C315"/>
      <c r="D315" s="252"/>
      <c r="E315" s="77" t="s">
        <v>87</v>
      </c>
      <c r="F315" s="78" t="s">
        <v>88</v>
      </c>
      <c r="G315" s="79"/>
      <c r="H315" s="80"/>
      <c r="I315" s="81"/>
      <c r="J315" s="81"/>
      <c r="K315" s="81"/>
      <c r="L315" s="81"/>
      <c r="M315" s="83"/>
      <c r="N315" s="83"/>
      <c r="O315" s="83"/>
      <c r="P315" s="83"/>
      <c r="Q315" s="83"/>
      <c r="R315" s="83"/>
      <c r="S315" s="84"/>
      <c r="U315" s="35">
        <v>4</v>
      </c>
      <c r="V315" s="204" t="s">
        <v>29</v>
      </c>
    </row>
    <row r="316" spans="1:22" ht="15" thickBot="1" x14ac:dyDescent="0.4">
      <c r="A316" s="5" t="s">
        <v>75</v>
      </c>
      <c r="C316"/>
      <c r="D316" s="253" t="s">
        <v>37</v>
      </c>
      <c r="E316" s="77" t="s">
        <v>89</v>
      </c>
      <c r="F316" s="78" t="s">
        <v>90</v>
      </c>
      <c r="G316" s="79"/>
      <c r="H316" s="80"/>
      <c r="I316" s="81"/>
      <c r="J316" s="81"/>
      <c r="K316" s="81"/>
      <c r="L316" s="81"/>
      <c r="M316" s="83"/>
      <c r="N316" s="83"/>
      <c r="O316" s="83"/>
      <c r="P316" s="83"/>
      <c r="Q316" s="83"/>
      <c r="R316" s="83"/>
      <c r="S316" s="84"/>
      <c r="U316" s="46">
        <v>5</v>
      </c>
      <c r="V316" s="60" t="s">
        <v>30</v>
      </c>
    </row>
    <row r="317" spans="1:22" ht="15" thickBot="1" x14ac:dyDescent="0.4">
      <c r="A317" s="5" t="s">
        <v>75</v>
      </c>
      <c r="C317"/>
      <c r="D317" s="253"/>
      <c r="E317" s="77" t="s">
        <v>91</v>
      </c>
      <c r="F317" s="78" t="s">
        <v>92</v>
      </c>
      <c r="G317" s="79"/>
      <c r="H317" s="80"/>
      <c r="I317" s="81"/>
      <c r="J317" s="81"/>
      <c r="K317" s="81"/>
      <c r="L317" s="81"/>
      <c r="M317" s="83"/>
      <c r="N317" s="83"/>
      <c r="O317" s="83"/>
      <c r="P317" s="83"/>
      <c r="Q317" s="83"/>
      <c r="R317" s="83"/>
      <c r="S317" s="84"/>
    </row>
    <row r="318" spans="1:22" ht="15.75" customHeight="1" thickBot="1" x14ac:dyDescent="0.4">
      <c r="A318" s="5" t="s">
        <v>75</v>
      </c>
      <c r="C318"/>
      <c r="D318" s="243" t="s">
        <v>93</v>
      </c>
      <c r="E318" s="77" t="s">
        <v>94</v>
      </c>
      <c r="F318" s="78" t="s">
        <v>95</v>
      </c>
      <c r="G318" s="79"/>
      <c r="H318" s="80"/>
      <c r="I318" s="81"/>
      <c r="J318" s="81"/>
      <c r="K318" s="81"/>
      <c r="L318" s="81"/>
      <c r="M318" s="83"/>
      <c r="N318" s="83"/>
      <c r="O318" s="83"/>
      <c r="P318" s="83"/>
      <c r="Q318" s="83"/>
      <c r="R318" s="83"/>
      <c r="S318" s="84"/>
    </row>
    <row r="319" spans="1:22" ht="15" thickBot="1" x14ac:dyDescent="0.4">
      <c r="A319" s="5" t="s">
        <v>75</v>
      </c>
      <c r="C319"/>
      <c r="D319" s="244"/>
      <c r="E319" s="77" t="s">
        <v>96</v>
      </c>
      <c r="F319" s="78" t="s">
        <v>97</v>
      </c>
      <c r="G319" s="79"/>
      <c r="H319" s="80"/>
      <c r="I319" s="81"/>
      <c r="J319" s="81"/>
      <c r="K319" s="81"/>
      <c r="L319" s="81"/>
      <c r="M319" s="83"/>
      <c r="N319" s="83"/>
      <c r="O319" s="83"/>
      <c r="P319" s="83"/>
      <c r="Q319" s="83"/>
      <c r="R319" s="83"/>
      <c r="S319" s="84"/>
    </row>
    <row r="320" spans="1:22" ht="15" thickBot="1" x14ac:dyDescent="0.4">
      <c r="A320" s="5" t="s">
        <v>75</v>
      </c>
      <c r="C320"/>
      <c r="D320" s="245" t="s">
        <v>98</v>
      </c>
      <c r="E320" s="77" t="s">
        <v>99</v>
      </c>
      <c r="F320" s="78" t="s">
        <v>100</v>
      </c>
      <c r="G320" s="79"/>
      <c r="H320" s="80"/>
      <c r="I320" s="81"/>
      <c r="J320" s="81"/>
      <c r="K320" s="81"/>
      <c r="L320" s="81"/>
      <c r="M320" s="83"/>
      <c r="N320" s="83"/>
      <c r="O320" s="83"/>
      <c r="P320" s="83"/>
      <c r="Q320" s="83"/>
      <c r="R320" s="83"/>
      <c r="S320" s="84"/>
    </row>
    <row r="321" spans="1:19" ht="15" thickBot="1" x14ac:dyDescent="0.4">
      <c r="A321" s="5" t="s">
        <v>75</v>
      </c>
      <c r="C321"/>
      <c r="D321" s="246"/>
      <c r="E321" s="77" t="s">
        <v>101</v>
      </c>
      <c r="F321" s="78" t="s">
        <v>102</v>
      </c>
      <c r="G321" s="79"/>
      <c r="H321" s="80"/>
      <c r="I321" s="81"/>
      <c r="J321" s="81"/>
      <c r="K321" s="81"/>
      <c r="L321" s="81"/>
      <c r="M321" s="83"/>
      <c r="N321" s="83"/>
      <c r="O321" s="83"/>
      <c r="P321" s="83"/>
      <c r="Q321" s="83"/>
      <c r="R321" s="83"/>
      <c r="S321" s="84"/>
    </row>
    <row r="322" spans="1:19" ht="15" thickBot="1" x14ac:dyDescent="0.4">
      <c r="A322" s="5" t="s">
        <v>75</v>
      </c>
      <c r="C322"/>
      <c r="D322" s="245" t="s">
        <v>103</v>
      </c>
      <c r="E322" s="77" t="s">
        <v>104</v>
      </c>
      <c r="F322" s="78" t="s">
        <v>105</v>
      </c>
      <c r="G322" s="79"/>
      <c r="H322" s="80"/>
      <c r="I322" s="81"/>
      <c r="J322" s="81"/>
      <c r="K322" s="81"/>
      <c r="L322" s="81"/>
      <c r="M322" s="83"/>
      <c r="N322" s="83"/>
      <c r="O322" s="83"/>
      <c r="P322" s="83"/>
      <c r="Q322" s="83"/>
      <c r="R322" s="83"/>
      <c r="S322" s="84"/>
    </row>
    <row r="323" spans="1:19" ht="15" thickBot="1" x14ac:dyDescent="0.4">
      <c r="A323" s="5" t="s">
        <v>75</v>
      </c>
      <c r="C323"/>
      <c r="D323" s="246"/>
      <c r="E323" s="77" t="s">
        <v>106</v>
      </c>
      <c r="F323" s="78" t="s">
        <v>107</v>
      </c>
      <c r="G323" s="79"/>
      <c r="H323" s="80"/>
      <c r="I323" s="81"/>
      <c r="J323" s="81"/>
      <c r="K323" s="81"/>
      <c r="L323" s="81"/>
      <c r="M323" s="83"/>
      <c r="N323" s="83"/>
      <c r="O323" s="83"/>
      <c r="P323" s="83"/>
      <c r="Q323" s="83"/>
      <c r="R323" s="83"/>
      <c r="S323" s="84"/>
    </row>
    <row r="324" spans="1:19" ht="15" thickBot="1" x14ac:dyDescent="0.4">
      <c r="A324" s="5" t="s">
        <v>75</v>
      </c>
      <c r="C324"/>
      <c r="D324" s="245" t="s">
        <v>108</v>
      </c>
      <c r="E324" s="77" t="s">
        <v>109</v>
      </c>
      <c r="F324" s="78" t="s">
        <v>110</v>
      </c>
      <c r="G324" s="79"/>
      <c r="H324" s="80"/>
      <c r="I324" s="81"/>
      <c r="J324" s="81"/>
      <c r="K324" s="81"/>
      <c r="L324" s="81"/>
      <c r="M324" s="83"/>
      <c r="N324" s="83"/>
      <c r="O324" s="83"/>
      <c r="P324" s="83"/>
      <c r="Q324" s="83"/>
      <c r="R324" s="83"/>
      <c r="S324" s="84"/>
    </row>
    <row r="325" spans="1:19" ht="15" thickBot="1" x14ac:dyDescent="0.4">
      <c r="A325" s="5" t="s">
        <v>75</v>
      </c>
      <c r="C325"/>
      <c r="D325" s="244"/>
      <c r="E325" s="85" t="s">
        <v>111</v>
      </c>
      <c r="F325" s="86" t="s">
        <v>112</v>
      </c>
      <c r="G325" s="87"/>
      <c r="H325" s="88"/>
      <c r="I325" s="89"/>
      <c r="J325" s="89"/>
      <c r="K325" s="89"/>
      <c r="L325" s="89"/>
      <c r="M325" s="90"/>
      <c r="N325" s="90"/>
      <c r="O325" s="90"/>
      <c r="P325" s="90"/>
      <c r="Q325" s="90"/>
      <c r="R325" s="90"/>
      <c r="S325" s="91"/>
    </row>
    <row r="326" spans="1:19" ht="23.25" customHeight="1" thickBot="1" x14ac:dyDescent="0.4">
      <c r="A326" s="5" t="s">
        <v>75</v>
      </c>
      <c r="C326"/>
      <c r="D326" s="98" t="s">
        <v>113</v>
      </c>
      <c r="E326" s="98"/>
      <c r="F326" s="98" t="s">
        <v>114</v>
      </c>
      <c r="G326" s="99"/>
      <c r="H326" s="247" t="s">
        <v>115</v>
      </c>
      <c r="I326" s="248"/>
      <c r="J326" s="248"/>
      <c r="K326" s="248"/>
      <c r="L326" s="248"/>
      <c r="M326" s="248"/>
      <c r="N326" s="248"/>
      <c r="O326" s="249"/>
      <c r="P326" s="247" t="s">
        <v>116</v>
      </c>
      <c r="Q326" s="248"/>
      <c r="R326" s="248" t="s">
        <v>117</v>
      </c>
      <c r="S326" s="249"/>
    </row>
    <row r="327" spans="1:19" ht="12.75" customHeight="1" x14ac:dyDescent="0.35">
      <c r="A327" s="5" t="s">
        <v>75</v>
      </c>
      <c r="C327"/>
      <c r="D327" s="254" t="s">
        <v>118</v>
      </c>
      <c r="E327" s="255"/>
      <c r="F327" s="260" t="s">
        <v>119</v>
      </c>
      <c r="G327" s="255"/>
      <c r="H327" s="260" t="s">
        <v>120</v>
      </c>
      <c r="I327" s="264"/>
      <c r="J327" s="264"/>
      <c r="K327" s="264"/>
      <c r="L327" s="264"/>
      <c r="M327" s="264"/>
      <c r="N327" s="264"/>
      <c r="O327" s="255"/>
      <c r="P327" s="268" t="s">
        <v>11</v>
      </c>
      <c r="Q327" s="282"/>
      <c r="R327" s="268" t="s">
        <v>121</v>
      </c>
      <c r="S327" s="285"/>
    </row>
    <row r="328" spans="1:19" ht="12.75" customHeight="1" x14ac:dyDescent="0.35">
      <c r="A328" s="5" t="s">
        <v>75</v>
      </c>
      <c r="C328"/>
      <c r="D328" s="256"/>
      <c r="E328" s="257"/>
      <c r="F328" s="261"/>
      <c r="G328" s="257"/>
      <c r="H328" s="261"/>
      <c r="I328" s="265"/>
      <c r="J328" s="265"/>
      <c r="K328" s="265"/>
      <c r="L328" s="265"/>
      <c r="M328" s="265"/>
      <c r="N328" s="265"/>
      <c r="O328" s="257"/>
      <c r="P328" s="270"/>
      <c r="Q328" s="283"/>
      <c r="R328" s="270"/>
      <c r="S328" s="280"/>
    </row>
    <row r="329" spans="1:19" ht="12.75" customHeight="1" x14ac:dyDescent="0.35">
      <c r="A329" s="5" t="s">
        <v>75</v>
      </c>
      <c r="C329"/>
      <c r="D329" s="256"/>
      <c r="E329" s="257"/>
      <c r="F329" s="261"/>
      <c r="G329" s="257"/>
      <c r="H329" s="261"/>
      <c r="I329" s="265"/>
      <c r="J329" s="265"/>
      <c r="K329" s="265"/>
      <c r="L329" s="265"/>
      <c r="M329" s="265"/>
      <c r="N329" s="265"/>
      <c r="O329" s="257"/>
      <c r="P329" s="270"/>
      <c r="Q329" s="283"/>
      <c r="R329" s="270"/>
      <c r="S329" s="280"/>
    </row>
    <row r="330" spans="1:19" ht="12.75" customHeight="1" thickBot="1" x14ac:dyDescent="0.4">
      <c r="A330" s="5" t="s">
        <v>75</v>
      </c>
      <c r="C330"/>
      <c r="D330" s="258"/>
      <c r="E330" s="259"/>
      <c r="F330" s="262"/>
      <c r="G330" s="263"/>
      <c r="H330" s="266"/>
      <c r="I330" s="267"/>
      <c r="J330" s="267"/>
      <c r="K330" s="267"/>
      <c r="L330" s="267"/>
      <c r="M330" s="267"/>
      <c r="N330" s="267"/>
      <c r="O330" s="259"/>
      <c r="P330" s="272"/>
      <c r="Q330" s="284"/>
      <c r="R330" s="272"/>
      <c r="S330" s="286"/>
    </row>
    <row r="331" spans="1:19" ht="12.75" customHeight="1" x14ac:dyDescent="0.35">
      <c r="A331" s="5" t="s">
        <v>75</v>
      </c>
      <c r="C331"/>
      <c r="D331" s="254" t="s">
        <v>118</v>
      </c>
      <c r="E331" s="255"/>
      <c r="F331" s="260" t="s">
        <v>119</v>
      </c>
      <c r="G331" s="255"/>
      <c r="H331" s="260" t="s">
        <v>120</v>
      </c>
      <c r="I331" s="264"/>
      <c r="J331" s="264"/>
      <c r="K331" s="264"/>
      <c r="L331" s="264"/>
      <c r="M331" s="264"/>
      <c r="N331" s="264"/>
      <c r="O331" s="255"/>
      <c r="P331" s="268" t="s">
        <v>11</v>
      </c>
      <c r="Q331" s="269"/>
      <c r="R331" s="278" t="s">
        <v>121</v>
      </c>
      <c r="S331" s="279"/>
    </row>
    <row r="332" spans="1:19" ht="12.75" customHeight="1" x14ac:dyDescent="0.35">
      <c r="A332" s="5" t="s">
        <v>75</v>
      </c>
      <c r="C332"/>
      <c r="D332" s="256"/>
      <c r="E332" s="257"/>
      <c r="F332" s="261"/>
      <c r="G332" s="257"/>
      <c r="H332" s="261"/>
      <c r="I332" s="265"/>
      <c r="J332" s="265"/>
      <c r="K332" s="265"/>
      <c r="L332" s="265"/>
      <c r="M332" s="265"/>
      <c r="N332" s="265"/>
      <c r="O332" s="257"/>
      <c r="P332" s="270"/>
      <c r="Q332" s="271"/>
      <c r="R332" s="270"/>
      <c r="S332" s="280"/>
    </row>
    <row r="333" spans="1:19" ht="12.75" customHeight="1" x14ac:dyDescent="0.35">
      <c r="A333" s="5" t="s">
        <v>75</v>
      </c>
      <c r="C333"/>
      <c r="D333" s="256"/>
      <c r="E333" s="257"/>
      <c r="F333" s="261"/>
      <c r="G333" s="257"/>
      <c r="H333" s="261"/>
      <c r="I333" s="265"/>
      <c r="J333" s="265"/>
      <c r="K333" s="265"/>
      <c r="L333" s="265"/>
      <c r="M333" s="265"/>
      <c r="N333" s="265"/>
      <c r="O333" s="257"/>
      <c r="P333" s="270"/>
      <c r="Q333" s="271"/>
      <c r="R333" s="270"/>
      <c r="S333" s="280"/>
    </row>
    <row r="334" spans="1:19" ht="12.75" customHeight="1" thickBot="1" x14ac:dyDescent="0.4">
      <c r="A334" s="5" t="s">
        <v>75</v>
      </c>
      <c r="C334"/>
      <c r="D334" s="258"/>
      <c r="E334" s="259"/>
      <c r="F334" s="262"/>
      <c r="G334" s="263"/>
      <c r="H334" s="266"/>
      <c r="I334" s="267"/>
      <c r="J334" s="267"/>
      <c r="K334" s="267"/>
      <c r="L334" s="267"/>
      <c r="M334" s="267"/>
      <c r="N334" s="267"/>
      <c r="O334" s="259"/>
      <c r="P334" s="272"/>
      <c r="Q334" s="273"/>
      <c r="R334" s="272"/>
      <c r="S334" s="286"/>
    </row>
    <row r="335" spans="1:19" ht="12.75" customHeight="1" x14ac:dyDescent="0.35">
      <c r="A335" s="5" t="s">
        <v>75</v>
      </c>
      <c r="C335"/>
      <c r="D335" s="254" t="s">
        <v>118</v>
      </c>
      <c r="E335" s="255"/>
      <c r="F335" s="260" t="s">
        <v>119</v>
      </c>
      <c r="G335" s="255"/>
      <c r="H335" s="260" t="s">
        <v>120</v>
      </c>
      <c r="I335" s="264"/>
      <c r="J335" s="264"/>
      <c r="K335" s="264"/>
      <c r="L335" s="264"/>
      <c r="M335" s="264"/>
      <c r="N335" s="264"/>
      <c r="O335" s="255"/>
      <c r="P335" s="268" t="s">
        <v>11</v>
      </c>
      <c r="Q335" s="269"/>
      <c r="R335" s="278" t="s">
        <v>121</v>
      </c>
      <c r="S335" s="279"/>
    </row>
    <row r="336" spans="1:19" ht="12.75" customHeight="1" x14ac:dyDescent="0.35">
      <c r="A336" s="5" t="s">
        <v>75</v>
      </c>
      <c r="C336"/>
      <c r="D336" s="256"/>
      <c r="E336" s="257"/>
      <c r="F336" s="261"/>
      <c r="G336" s="257"/>
      <c r="H336" s="261"/>
      <c r="I336" s="265"/>
      <c r="J336" s="265"/>
      <c r="K336" s="265"/>
      <c r="L336" s="265"/>
      <c r="M336" s="265"/>
      <c r="N336" s="265"/>
      <c r="O336" s="257"/>
      <c r="P336" s="270"/>
      <c r="Q336" s="271"/>
      <c r="R336" s="270"/>
      <c r="S336" s="280"/>
    </row>
    <row r="337" spans="1:19" ht="12.75" customHeight="1" x14ac:dyDescent="0.35">
      <c r="A337" s="5" t="s">
        <v>75</v>
      </c>
      <c r="C337"/>
      <c r="D337" s="256"/>
      <c r="E337" s="257"/>
      <c r="F337" s="261"/>
      <c r="G337" s="257"/>
      <c r="H337" s="261"/>
      <c r="I337" s="265"/>
      <c r="J337" s="265"/>
      <c r="K337" s="265"/>
      <c r="L337" s="265"/>
      <c r="M337" s="265"/>
      <c r="N337" s="265"/>
      <c r="O337" s="257"/>
      <c r="P337" s="270"/>
      <c r="Q337" s="271"/>
      <c r="R337" s="270"/>
      <c r="S337" s="280"/>
    </row>
    <row r="338" spans="1:19" ht="12.75" customHeight="1" thickBot="1" x14ac:dyDescent="0.4">
      <c r="A338" s="5" t="s">
        <v>75</v>
      </c>
      <c r="C338"/>
      <c r="D338" s="274"/>
      <c r="E338" s="263"/>
      <c r="F338" s="262"/>
      <c r="G338" s="263"/>
      <c r="H338" s="262"/>
      <c r="I338" s="275"/>
      <c r="J338" s="275"/>
      <c r="K338" s="275"/>
      <c r="L338" s="275"/>
      <c r="M338" s="275"/>
      <c r="N338" s="275"/>
      <c r="O338" s="263"/>
      <c r="P338" s="276"/>
      <c r="Q338" s="277"/>
      <c r="R338" s="276"/>
      <c r="S338" s="281"/>
    </row>
    <row r="353" spans="1:22" ht="23" thickBot="1" x14ac:dyDescent="0.5">
      <c r="C353"/>
      <c r="D353" s="11">
        <f>D303+1</f>
        <v>7</v>
      </c>
      <c r="E353" s="11"/>
      <c r="F353" s="14"/>
      <c r="G353" s="14"/>
      <c r="H353" s="14"/>
      <c r="I353" s="14"/>
      <c r="J353" s="14"/>
      <c r="K353" s="14"/>
      <c r="L353" s="14"/>
      <c r="M353" s="14"/>
      <c r="N353" s="14"/>
      <c r="O353" s="14"/>
      <c r="P353" s="14"/>
      <c r="Q353" s="14"/>
      <c r="R353" s="14"/>
      <c r="S353" s="14"/>
    </row>
    <row r="354" spans="1:22" ht="30" customHeight="1" thickBot="1" x14ac:dyDescent="0.4">
      <c r="A354" s="17" t="s">
        <v>57</v>
      </c>
      <c r="C354"/>
      <c r="D354" s="295" t="e">
        <f ca="1">"Hoshin Implementation Plan "&amp;#REF!&amp;"   -   Must Win Battle / Strategy:   "&amp;$L$2</f>
        <v>#REF!</v>
      </c>
      <c r="E354" s="296"/>
      <c r="F354" s="296"/>
      <c r="G354" s="297"/>
      <c r="H354" s="298" t="e">
        <f ca="1">"Work Stream:   "&amp;OFFSET($E$7,2*(D353+1)-1,0)&amp;" - "&amp;OFFSET($F$7,2*(D353+1)-1,0)</f>
        <v>#NAME?</v>
      </c>
      <c r="I354" s="296"/>
      <c r="J354" s="296"/>
      <c r="K354" s="296"/>
      <c r="L354" s="296"/>
      <c r="M354" s="296"/>
      <c r="N354" s="296"/>
      <c r="O354" s="296"/>
      <c r="P354" s="296"/>
      <c r="Q354" s="296"/>
      <c r="R354" s="296"/>
      <c r="S354" s="299"/>
    </row>
    <row r="355" spans="1:22" ht="26" x14ac:dyDescent="0.35">
      <c r="A355" s="17" t="s">
        <v>57</v>
      </c>
      <c r="C355"/>
      <c r="D355" s="240" t="s">
        <v>1</v>
      </c>
      <c r="E355" s="241"/>
      <c r="F355" s="241"/>
      <c r="G355" s="291"/>
      <c r="H355" s="292" t="s">
        <v>2</v>
      </c>
      <c r="I355" s="241"/>
      <c r="J355" s="291"/>
      <c r="K355" s="292" t="s">
        <v>3</v>
      </c>
      <c r="L355" s="241"/>
      <c r="M355" s="241"/>
      <c r="N355" s="241" t="s">
        <v>58</v>
      </c>
      <c r="O355" s="241"/>
      <c r="P355" s="291"/>
      <c r="Q355" s="293" t="s">
        <v>13</v>
      </c>
      <c r="R355" s="293"/>
      <c r="S355" s="294"/>
    </row>
    <row r="356" spans="1:22" ht="26.25" customHeight="1" x14ac:dyDescent="0.35">
      <c r="A356" s="17" t="s">
        <v>57</v>
      </c>
      <c r="C356"/>
      <c r="D356" s="229" t="e">
        <f>$D$4</f>
        <v>#REF!</v>
      </c>
      <c r="E356" s="230"/>
      <c r="F356" s="230"/>
      <c r="G356" s="230"/>
      <c r="H356" s="231" t="e">
        <f>$F$4</f>
        <v>#REF!</v>
      </c>
      <c r="I356" s="230"/>
      <c r="J356" s="232"/>
      <c r="K356" s="233" t="str">
        <f ca="1">OFFSET($G$7,2*(D353+1)-1,0)</f>
        <v>G</v>
      </c>
      <c r="L356" s="234"/>
      <c r="M356" s="235"/>
      <c r="N356" s="236" t="s">
        <v>6</v>
      </c>
      <c r="O356" s="237"/>
      <c r="P356" s="238"/>
      <c r="Q356" s="236" t="s">
        <v>6</v>
      </c>
      <c r="R356" s="237"/>
      <c r="S356" s="239"/>
    </row>
    <row r="357" spans="1:22" ht="26.5" thickBot="1" x14ac:dyDescent="0.4">
      <c r="A357" s="17" t="s">
        <v>57</v>
      </c>
      <c r="C357"/>
      <c r="D357" s="240" t="s">
        <v>7</v>
      </c>
      <c r="E357" s="241"/>
      <c r="F357" s="241"/>
      <c r="G357" s="241"/>
      <c r="H357" s="241"/>
      <c r="I357" s="241"/>
      <c r="J357" s="241"/>
      <c r="K357" s="241"/>
      <c r="L357" s="241"/>
      <c r="M357" s="241"/>
      <c r="N357" s="241"/>
      <c r="O357" s="241"/>
      <c r="P357" s="241"/>
      <c r="Q357" s="241"/>
      <c r="R357" s="241"/>
      <c r="S357" s="242"/>
    </row>
    <row r="358" spans="1:22" ht="26" x14ac:dyDescent="0.35">
      <c r="A358" s="17" t="s">
        <v>57</v>
      </c>
      <c r="C358"/>
      <c r="D358" s="224" t="s">
        <v>59</v>
      </c>
      <c r="E358" s="225"/>
      <c r="F358" s="225"/>
      <c r="G358" s="225"/>
      <c r="H358" s="225"/>
      <c r="I358" s="225"/>
      <c r="J358" s="225"/>
      <c r="K358" s="225"/>
      <c r="L358" s="225"/>
      <c r="M358" s="225"/>
      <c r="N358" s="225"/>
      <c r="O358" s="225"/>
      <c r="P358" s="225"/>
      <c r="Q358" s="225"/>
      <c r="R358" s="225"/>
      <c r="S358" s="226"/>
      <c r="U358" s="391" t="s">
        <v>16</v>
      </c>
      <c r="V358" s="392"/>
    </row>
    <row r="359" spans="1:22" ht="27" customHeight="1" thickBot="1" x14ac:dyDescent="0.4">
      <c r="A359" s="17" t="s">
        <v>57</v>
      </c>
      <c r="C359"/>
      <c r="D359" s="92" t="s">
        <v>60</v>
      </c>
      <c r="E359" s="227" t="s">
        <v>61</v>
      </c>
      <c r="F359" s="228"/>
      <c r="G359" s="93" t="s">
        <v>11</v>
      </c>
      <c r="H359" s="94" t="s">
        <v>62</v>
      </c>
      <c r="I359" s="94" t="s">
        <v>63</v>
      </c>
      <c r="J359" s="94" t="s">
        <v>64</v>
      </c>
      <c r="K359" s="94" t="s">
        <v>65</v>
      </c>
      <c r="L359" s="94" t="s">
        <v>66</v>
      </c>
      <c r="M359" s="94" t="s">
        <v>67</v>
      </c>
      <c r="N359" s="94" t="s">
        <v>68</v>
      </c>
      <c r="O359" s="94" t="s">
        <v>69</v>
      </c>
      <c r="P359" s="94" t="s">
        <v>70</v>
      </c>
      <c r="Q359" s="94" t="s">
        <v>71</v>
      </c>
      <c r="R359" s="94" t="s">
        <v>72</v>
      </c>
      <c r="S359" s="95" t="s">
        <v>73</v>
      </c>
      <c r="U359" s="287" t="s">
        <v>74</v>
      </c>
      <c r="V359" s="288"/>
    </row>
    <row r="360" spans="1:22" ht="15.75" customHeight="1" thickBot="1" x14ac:dyDescent="0.4">
      <c r="A360" s="8" t="s">
        <v>75</v>
      </c>
      <c r="C360"/>
      <c r="D360" s="250" t="s">
        <v>76</v>
      </c>
      <c r="E360" s="96" t="s">
        <v>77</v>
      </c>
      <c r="F360" s="97" t="s">
        <v>78</v>
      </c>
      <c r="G360" s="65"/>
      <c r="H360" s="66"/>
      <c r="I360" s="67"/>
      <c r="J360" s="67"/>
      <c r="K360" s="67"/>
      <c r="L360" s="67"/>
      <c r="M360" s="68"/>
      <c r="N360" s="68"/>
      <c r="O360" s="68"/>
      <c r="P360" s="68"/>
      <c r="Q360" s="68"/>
      <c r="R360" s="68"/>
      <c r="S360" s="69"/>
      <c r="U360" s="289"/>
      <c r="V360" s="290"/>
    </row>
    <row r="361" spans="1:22" ht="15" thickBot="1" x14ac:dyDescent="0.4">
      <c r="A361" s="8" t="s">
        <v>75</v>
      </c>
      <c r="C361"/>
      <c r="D361" s="251"/>
      <c r="E361" s="70" t="s">
        <v>79</v>
      </c>
      <c r="F361" s="71" t="s">
        <v>80</v>
      </c>
      <c r="G361" s="72"/>
      <c r="H361" s="73"/>
      <c r="I361" s="74"/>
      <c r="J361" s="74"/>
      <c r="K361" s="74"/>
      <c r="L361" s="74"/>
      <c r="M361" s="75"/>
      <c r="N361" s="75"/>
      <c r="O361" s="75"/>
      <c r="P361" s="75"/>
      <c r="Q361" s="75"/>
      <c r="R361" s="75"/>
      <c r="S361" s="76"/>
      <c r="U361" s="199">
        <v>0</v>
      </c>
      <c r="V361" s="200" t="s">
        <v>21</v>
      </c>
    </row>
    <row r="362" spans="1:22" ht="15" thickBot="1" x14ac:dyDescent="0.4">
      <c r="A362" s="8" t="s">
        <v>75</v>
      </c>
      <c r="C362"/>
      <c r="D362" s="251"/>
      <c r="E362" s="77" t="s">
        <v>81</v>
      </c>
      <c r="F362" s="78" t="s">
        <v>82</v>
      </c>
      <c r="G362" s="79"/>
      <c r="H362" s="80"/>
      <c r="I362" s="81"/>
      <c r="J362" s="81"/>
      <c r="K362" s="81"/>
      <c r="L362" s="81"/>
      <c r="M362" s="82"/>
      <c r="N362" s="83"/>
      <c r="O362" s="83"/>
      <c r="P362" s="83"/>
      <c r="Q362" s="83"/>
      <c r="R362" s="83"/>
      <c r="S362" s="84"/>
      <c r="U362" s="33">
        <v>1</v>
      </c>
      <c r="V362" s="201" t="s">
        <v>22</v>
      </c>
    </row>
    <row r="363" spans="1:22" ht="15" thickBot="1" x14ac:dyDescent="0.4">
      <c r="A363" s="8" t="s">
        <v>75</v>
      </c>
      <c r="C363"/>
      <c r="D363" s="251"/>
      <c r="E363" s="77" t="s">
        <v>83</v>
      </c>
      <c r="F363" s="78" t="s">
        <v>84</v>
      </c>
      <c r="G363" s="79"/>
      <c r="H363" s="80"/>
      <c r="I363" s="81"/>
      <c r="J363" s="81"/>
      <c r="K363" s="81"/>
      <c r="L363" s="81"/>
      <c r="M363" s="83"/>
      <c r="N363" s="83"/>
      <c r="O363" s="83"/>
      <c r="P363" s="83"/>
      <c r="Q363" s="83"/>
      <c r="R363" s="83"/>
      <c r="S363" s="84"/>
      <c r="U363" s="41">
        <v>2</v>
      </c>
      <c r="V363" s="202" t="s">
        <v>25</v>
      </c>
    </row>
    <row r="364" spans="1:22" ht="15" thickBot="1" x14ac:dyDescent="0.4">
      <c r="A364" s="5" t="s">
        <v>75</v>
      </c>
      <c r="C364"/>
      <c r="D364" s="251"/>
      <c r="E364" s="77" t="s">
        <v>85</v>
      </c>
      <c r="F364" s="78" t="s">
        <v>86</v>
      </c>
      <c r="G364" s="79"/>
      <c r="H364" s="80"/>
      <c r="I364" s="81"/>
      <c r="J364" s="81"/>
      <c r="K364" s="81"/>
      <c r="L364" s="81"/>
      <c r="M364" s="83"/>
      <c r="N364" s="83"/>
      <c r="O364" s="83"/>
      <c r="P364" s="83"/>
      <c r="Q364" s="83"/>
      <c r="R364" s="83"/>
      <c r="S364" s="84"/>
      <c r="U364" s="38">
        <v>3</v>
      </c>
      <c r="V364" s="203" t="s">
        <v>26</v>
      </c>
    </row>
    <row r="365" spans="1:22" ht="15" thickBot="1" x14ac:dyDescent="0.4">
      <c r="A365" s="5" t="s">
        <v>75</v>
      </c>
      <c r="C365"/>
      <c r="D365" s="252"/>
      <c r="E365" s="77" t="s">
        <v>87</v>
      </c>
      <c r="F365" s="78" t="s">
        <v>88</v>
      </c>
      <c r="G365" s="79"/>
      <c r="H365" s="80"/>
      <c r="I365" s="81"/>
      <c r="J365" s="81"/>
      <c r="K365" s="81"/>
      <c r="L365" s="81"/>
      <c r="M365" s="83"/>
      <c r="N365" s="83"/>
      <c r="O365" s="83"/>
      <c r="P365" s="83"/>
      <c r="Q365" s="83"/>
      <c r="R365" s="83"/>
      <c r="S365" s="84"/>
      <c r="U365" s="35">
        <v>4</v>
      </c>
      <c r="V365" s="204" t="s">
        <v>29</v>
      </c>
    </row>
    <row r="366" spans="1:22" ht="15" thickBot="1" x14ac:dyDescent="0.4">
      <c r="A366" s="5" t="s">
        <v>75</v>
      </c>
      <c r="C366"/>
      <c r="D366" s="253" t="s">
        <v>37</v>
      </c>
      <c r="E366" s="77" t="s">
        <v>89</v>
      </c>
      <c r="F366" s="78" t="s">
        <v>90</v>
      </c>
      <c r="G366" s="79"/>
      <c r="H366" s="80"/>
      <c r="I366" s="81"/>
      <c r="J366" s="81"/>
      <c r="K366" s="81"/>
      <c r="L366" s="81"/>
      <c r="M366" s="83"/>
      <c r="N366" s="83"/>
      <c r="O366" s="83"/>
      <c r="P366" s="83"/>
      <c r="Q366" s="83"/>
      <c r="R366" s="83"/>
      <c r="S366" s="84"/>
      <c r="U366" s="46">
        <v>5</v>
      </c>
      <c r="V366" s="60" t="s">
        <v>30</v>
      </c>
    </row>
    <row r="367" spans="1:22" ht="15" thickBot="1" x14ac:dyDescent="0.4">
      <c r="A367" s="5" t="s">
        <v>75</v>
      </c>
      <c r="C367"/>
      <c r="D367" s="253"/>
      <c r="E367" s="77" t="s">
        <v>91</v>
      </c>
      <c r="F367" s="78" t="s">
        <v>92</v>
      </c>
      <c r="G367" s="79"/>
      <c r="H367" s="80"/>
      <c r="I367" s="81"/>
      <c r="J367" s="81"/>
      <c r="K367" s="81"/>
      <c r="L367" s="81"/>
      <c r="M367" s="83"/>
      <c r="N367" s="83"/>
      <c r="O367" s="83"/>
      <c r="P367" s="83"/>
      <c r="Q367" s="83"/>
      <c r="R367" s="83"/>
      <c r="S367" s="84"/>
    </row>
    <row r="368" spans="1:22" ht="15.75" customHeight="1" thickBot="1" x14ac:dyDescent="0.4">
      <c r="A368" s="5" t="s">
        <v>75</v>
      </c>
      <c r="C368"/>
      <c r="D368" s="243" t="s">
        <v>93</v>
      </c>
      <c r="E368" s="77" t="s">
        <v>94</v>
      </c>
      <c r="F368" s="78" t="s">
        <v>95</v>
      </c>
      <c r="G368" s="79"/>
      <c r="H368" s="80"/>
      <c r="I368" s="81"/>
      <c r="J368" s="81"/>
      <c r="K368" s="81"/>
      <c r="L368" s="81"/>
      <c r="M368" s="83"/>
      <c r="N368" s="83"/>
      <c r="O368" s="83"/>
      <c r="P368" s="83"/>
      <c r="Q368" s="83"/>
      <c r="R368" s="83"/>
      <c r="S368" s="84"/>
    </row>
    <row r="369" spans="1:19" ht="15" thickBot="1" x14ac:dyDescent="0.4">
      <c r="A369" s="5" t="s">
        <v>75</v>
      </c>
      <c r="C369"/>
      <c r="D369" s="244"/>
      <c r="E369" s="77" t="s">
        <v>96</v>
      </c>
      <c r="F369" s="78" t="s">
        <v>97</v>
      </c>
      <c r="G369" s="79"/>
      <c r="H369" s="80"/>
      <c r="I369" s="81"/>
      <c r="J369" s="81"/>
      <c r="K369" s="81"/>
      <c r="L369" s="81"/>
      <c r="M369" s="83"/>
      <c r="N369" s="83"/>
      <c r="O369" s="83"/>
      <c r="P369" s="83"/>
      <c r="Q369" s="83"/>
      <c r="R369" s="83"/>
      <c r="S369" s="84"/>
    </row>
    <row r="370" spans="1:19" ht="15" thickBot="1" x14ac:dyDescent="0.4">
      <c r="A370" s="5" t="s">
        <v>75</v>
      </c>
      <c r="C370"/>
      <c r="D370" s="245" t="s">
        <v>98</v>
      </c>
      <c r="E370" s="77" t="s">
        <v>99</v>
      </c>
      <c r="F370" s="78" t="s">
        <v>100</v>
      </c>
      <c r="G370" s="79"/>
      <c r="H370" s="80"/>
      <c r="I370" s="81"/>
      <c r="J370" s="81"/>
      <c r="K370" s="81"/>
      <c r="L370" s="81"/>
      <c r="M370" s="83"/>
      <c r="N370" s="83"/>
      <c r="O370" s="83"/>
      <c r="P370" s="83"/>
      <c r="Q370" s="83"/>
      <c r="R370" s="83"/>
      <c r="S370" s="84"/>
    </row>
    <row r="371" spans="1:19" ht="15" thickBot="1" x14ac:dyDescent="0.4">
      <c r="A371" s="5" t="s">
        <v>75</v>
      </c>
      <c r="C371"/>
      <c r="D371" s="246"/>
      <c r="E371" s="77" t="s">
        <v>101</v>
      </c>
      <c r="F371" s="78" t="s">
        <v>102</v>
      </c>
      <c r="G371" s="79"/>
      <c r="H371" s="80"/>
      <c r="I371" s="81"/>
      <c r="J371" s="81"/>
      <c r="K371" s="81"/>
      <c r="L371" s="81"/>
      <c r="M371" s="83"/>
      <c r="N371" s="83"/>
      <c r="O371" s="83"/>
      <c r="P371" s="83"/>
      <c r="Q371" s="83"/>
      <c r="R371" s="83"/>
      <c r="S371" s="84"/>
    </row>
    <row r="372" spans="1:19" ht="15" thickBot="1" x14ac:dyDescent="0.4">
      <c r="A372" s="5" t="s">
        <v>75</v>
      </c>
      <c r="C372"/>
      <c r="D372" s="245" t="s">
        <v>103</v>
      </c>
      <c r="E372" s="77" t="s">
        <v>104</v>
      </c>
      <c r="F372" s="78" t="s">
        <v>105</v>
      </c>
      <c r="G372" s="79"/>
      <c r="H372" s="80"/>
      <c r="I372" s="81"/>
      <c r="J372" s="81"/>
      <c r="K372" s="81"/>
      <c r="L372" s="81"/>
      <c r="M372" s="83"/>
      <c r="N372" s="83"/>
      <c r="O372" s="83"/>
      <c r="P372" s="83"/>
      <c r="Q372" s="83"/>
      <c r="R372" s="83"/>
      <c r="S372" s="84"/>
    </row>
    <row r="373" spans="1:19" ht="15" thickBot="1" x14ac:dyDescent="0.4">
      <c r="A373" s="5" t="s">
        <v>75</v>
      </c>
      <c r="C373"/>
      <c r="D373" s="246"/>
      <c r="E373" s="77" t="s">
        <v>106</v>
      </c>
      <c r="F373" s="78" t="s">
        <v>107</v>
      </c>
      <c r="G373" s="79"/>
      <c r="H373" s="80"/>
      <c r="I373" s="81"/>
      <c r="J373" s="81"/>
      <c r="K373" s="81"/>
      <c r="L373" s="81"/>
      <c r="M373" s="83"/>
      <c r="N373" s="83"/>
      <c r="O373" s="83"/>
      <c r="P373" s="83"/>
      <c r="Q373" s="83"/>
      <c r="R373" s="83"/>
      <c r="S373" s="84"/>
    </row>
    <row r="374" spans="1:19" ht="15" thickBot="1" x14ac:dyDescent="0.4">
      <c r="A374" s="5" t="s">
        <v>75</v>
      </c>
      <c r="C374"/>
      <c r="D374" s="245" t="s">
        <v>108</v>
      </c>
      <c r="E374" s="77" t="s">
        <v>109</v>
      </c>
      <c r="F374" s="78" t="s">
        <v>110</v>
      </c>
      <c r="G374" s="79"/>
      <c r="H374" s="80"/>
      <c r="I374" s="81"/>
      <c r="J374" s="81"/>
      <c r="K374" s="81"/>
      <c r="L374" s="81"/>
      <c r="M374" s="83"/>
      <c r="N374" s="83"/>
      <c r="O374" s="83"/>
      <c r="P374" s="83"/>
      <c r="Q374" s="83"/>
      <c r="R374" s="83"/>
      <c r="S374" s="84"/>
    </row>
    <row r="375" spans="1:19" ht="15" thickBot="1" x14ac:dyDescent="0.4">
      <c r="A375" s="5" t="s">
        <v>75</v>
      </c>
      <c r="C375"/>
      <c r="D375" s="244"/>
      <c r="E375" s="85" t="s">
        <v>111</v>
      </c>
      <c r="F375" s="86" t="s">
        <v>112</v>
      </c>
      <c r="G375" s="87"/>
      <c r="H375" s="88"/>
      <c r="I375" s="89"/>
      <c r="J375" s="89"/>
      <c r="K375" s="89"/>
      <c r="L375" s="89"/>
      <c r="M375" s="90"/>
      <c r="N375" s="90"/>
      <c r="O375" s="90"/>
      <c r="P375" s="90"/>
      <c r="Q375" s="90"/>
      <c r="R375" s="90"/>
      <c r="S375" s="91"/>
    </row>
    <row r="376" spans="1:19" ht="23.25" customHeight="1" thickBot="1" x14ac:dyDescent="0.4">
      <c r="A376" s="5" t="s">
        <v>75</v>
      </c>
      <c r="C376"/>
      <c r="D376" s="98" t="s">
        <v>113</v>
      </c>
      <c r="E376" s="98"/>
      <c r="F376" s="98" t="s">
        <v>114</v>
      </c>
      <c r="G376" s="99"/>
      <c r="H376" s="247" t="s">
        <v>115</v>
      </c>
      <c r="I376" s="248"/>
      <c r="J376" s="248"/>
      <c r="K376" s="248"/>
      <c r="L376" s="248"/>
      <c r="M376" s="248"/>
      <c r="N376" s="248"/>
      <c r="O376" s="249"/>
      <c r="P376" s="247" t="s">
        <v>116</v>
      </c>
      <c r="Q376" s="248"/>
      <c r="R376" s="248" t="s">
        <v>117</v>
      </c>
      <c r="S376" s="249"/>
    </row>
    <row r="377" spans="1:19" ht="12.75" customHeight="1" x14ac:dyDescent="0.35">
      <c r="A377" s="5" t="s">
        <v>75</v>
      </c>
      <c r="C377"/>
      <c r="D377" s="254" t="s">
        <v>118</v>
      </c>
      <c r="E377" s="255"/>
      <c r="F377" s="260" t="s">
        <v>119</v>
      </c>
      <c r="G377" s="255"/>
      <c r="H377" s="260" t="s">
        <v>120</v>
      </c>
      <c r="I377" s="264"/>
      <c r="J377" s="264"/>
      <c r="K377" s="264"/>
      <c r="L377" s="264"/>
      <c r="M377" s="264"/>
      <c r="N377" s="264"/>
      <c r="O377" s="255"/>
      <c r="P377" s="268" t="s">
        <v>11</v>
      </c>
      <c r="Q377" s="282"/>
      <c r="R377" s="268" t="s">
        <v>121</v>
      </c>
      <c r="S377" s="285"/>
    </row>
    <row r="378" spans="1:19" ht="12.75" customHeight="1" x14ac:dyDescent="0.35">
      <c r="A378" s="5" t="s">
        <v>75</v>
      </c>
      <c r="C378"/>
      <c r="D378" s="256"/>
      <c r="E378" s="257"/>
      <c r="F378" s="261"/>
      <c r="G378" s="257"/>
      <c r="H378" s="261"/>
      <c r="I378" s="265"/>
      <c r="J378" s="265"/>
      <c r="K378" s="265"/>
      <c r="L378" s="265"/>
      <c r="M378" s="265"/>
      <c r="N378" s="265"/>
      <c r="O378" s="257"/>
      <c r="P378" s="270"/>
      <c r="Q378" s="283"/>
      <c r="R378" s="270"/>
      <c r="S378" s="280"/>
    </row>
    <row r="379" spans="1:19" ht="12.75" customHeight="1" x14ac:dyDescent="0.35">
      <c r="A379" s="5" t="s">
        <v>75</v>
      </c>
      <c r="C379"/>
      <c r="D379" s="256"/>
      <c r="E379" s="257"/>
      <c r="F379" s="261"/>
      <c r="G379" s="257"/>
      <c r="H379" s="261"/>
      <c r="I379" s="265"/>
      <c r="J379" s="265"/>
      <c r="K379" s="265"/>
      <c r="L379" s="265"/>
      <c r="M379" s="265"/>
      <c r="N379" s="265"/>
      <c r="O379" s="257"/>
      <c r="P379" s="270"/>
      <c r="Q379" s="283"/>
      <c r="R379" s="270"/>
      <c r="S379" s="280"/>
    </row>
    <row r="380" spans="1:19" ht="12.75" customHeight="1" thickBot="1" x14ac:dyDescent="0.4">
      <c r="A380" s="5" t="s">
        <v>75</v>
      </c>
      <c r="C380"/>
      <c r="D380" s="258"/>
      <c r="E380" s="259"/>
      <c r="F380" s="262"/>
      <c r="G380" s="263"/>
      <c r="H380" s="266"/>
      <c r="I380" s="267"/>
      <c r="J380" s="267"/>
      <c r="K380" s="267"/>
      <c r="L380" s="267"/>
      <c r="M380" s="267"/>
      <c r="N380" s="267"/>
      <c r="O380" s="259"/>
      <c r="P380" s="272"/>
      <c r="Q380" s="284"/>
      <c r="R380" s="272"/>
      <c r="S380" s="286"/>
    </row>
    <row r="381" spans="1:19" ht="12.75" customHeight="1" x14ac:dyDescent="0.35">
      <c r="A381" s="5" t="s">
        <v>75</v>
      </c>
      <c r="C381"/>
      <c r="D381" s="254" t="s">
        <v>118</v>
      </c>
      <c r="E381" s="255"/>
      <c r="F381" s="260" t="s">
        <v>119</v>
      </c>
      <c r="G381" s="255"/>
      <c r="H381" s="260" t="s">
        <v>120</v>
      </c>
      <c r="I381" s="264"/>
      <c r="J381" s="264"/>
      <c r="K381" s="264"/>
      <c r="L381" s="264"/>
      <c r="M381" s="264"/>
      <c r="N381" s="264"/>
      <c r="O381" s="255"/>
      <c r="P381" s="268" t="s">
        <v>11</v>
      </c>
      <c r="Q381" s="269"/>
      <c r="R381" s="278" t="s">
        <v>121</v>
      </c>
      <c r="S381" s="279"/>
    </row>
    <row r="382" spans="1:19" ht="12.75" customHeight="1" x14ac:dyDescent="0.35">
      <c r="A382" s="5" t="s">
        <v>75</v>
      </c>
      <c r="C382"/>
      <c r="D382" s="256"/>
      <c r="E382" s="257"/>
      <c r="F382" s="261"/>
      <c r="G382" s="257"/>
      <c r="H382" s="261"/>
      <c r="I382" s="265"/>
      <c r="J382" s="265"/>
      <c r="K382" s="265"/>
      <c r="L382" s="265"/>
      <c r="M382" s="265"/>
      <c r="N382" s="265"/>
      <c r="O382" s="257"/>
      <c r="P382" s="270"/>
      <c r="Q382" s="271"/>
      <c r="R382" s="270"/>
      <c r="S382" s="280"/>
    </row>
    <row r="383" spans="1:19" ht="12.75" customHeight="1" x14ac:dyDescent="0.35">
      <c r="A383" s="5" t="s">
        <v>75</v>
      </c>
      <c r="C383"/>
      <c r="D383" s="256"/>
      <c r="E383" s="257"/>
      <c r="F383" s="261"/>
      <c r="G383" s="257"/>
      <c r="H383" s="261"/>
      <c r="I383" s="265"/>
      <c r="J383" s="265"/>
      <c r="K383" s="265"/>
      <c r="L383" s="265"/>
      <c r="M383" s="265"/>
      <c r="N383" s="265"/>
      <c r="O383" s="257"/>
      <c r="P383" s="270"/>
      <c r="Q383" s="271"/>
      <c r="R383" s="270"/>
      <c r="S383" s="280"/>
    </row>
    <row r="384" spans="1:19" ht="12.75" customHeight="1" thickBot="1" x14ac:dyDescent="0.4">
      <c r="A384" s="5" t="s">
        <v>75</v>
      </c>
      <c r="C384"/>
      <c r="D384" s="258"/>
      <c r="E384" s="259"/>
      <c r="F384" s="262"/>
      <c r="G384" s="263"/>
      <c r="H384" s="266"/>
      <c r="I384" s="267"/>
      <c r="J384" s="267"/>
      <c r="K384" s="267"/>
      <c r="L384" s="267"/>
      <c r="M384" s="267"/>
      <c r="N384" s="267"/>
      <c r="O384" s="259"/>
      <c r="P384" s="272"/>
      <c r="Q384" s="273"/>
      <c r="R384" s="272"/>
      <c r="S384" s="286"/>
    </row>
    <row r="385" spans="1:19" ht="12.75" customHeight="1" x14ac:dyDescent="0.35">
      <c r="A385" s="5" t="s">
        <v>75</v>
      </c>
      <c r="C385"/>
      <c r="D385" s="254" t="s">
        <v>118</v>
      </c>
      <c r="E385" s="255"/>
      <c r="F385" s="260" t="s">
        <v>119</v>
      </c>
      <c r="G385" s="255"/>
      <c r="H385" s="260" t="s">
        <v>120</v>
      </c>
      <c r="I385" s="264"/>
      <c r="J385" s="264"/>
      <c r="K385" s="264"/>
      <c r="L385" s="264"/>
      <c r="M385" s="264"/>
      <c r="N385" s="264"/>
      <c r="O385" s="255"/>
      <c r="P385" s="268" t="s">
        <v>11</v>
      </c>
      <c r="Q385" s="269"/>
      <c r="R385" s="278" t="s">
        <v>121</v>
      </c>
      <c r="S385" s="279"/>
    </row>
    <row r="386" spans="1:19" ht="12.75" customHeight="1" x14ac:dyDescent="0.35">
      <c r="A386" s="5" t="s">
        <v>75</v>
      </c>
      <c r="C386"/>
      <c r="D386" s="256"/>
      <c r="E386" s="257"/>
      <c r="F386" s="261"/>
      <c r="G386" s="257"/>
      <c r="H386" s="261"/>
      <c r="I386" s="265"/>
      <c r="J386" s="265"/>
      <c r="K386" s="265"/>
      <c r="L386" s="265"/>
      <c r="M386" s="265"/>
      <c r="N386" s="265"/>
      <c r="O386" s="257"/>
      <c r="P386" s="270"/>
      <c r="Q386" s="271"/>
      <c r="R386" s="270"/>
      <c r="S386" s="280"/>
    </row>
    <row r="387" spans="1:19" ht="12.75" customHeight="1" x14ac:dyDescent="0.35">
      <c r="A387" s="5" t="s">
        <v>75</v>
      </c>
      <c r="C387"/>
      <c r="D387" s="256"/>
      <c r="E387" s="257"/>
      <c r="F387" s="261"/>
      <c r="G387" s="257"/>
      <c r="H387" s="261"/>
      <c r="I387" s="265"/>
      <c r="J387" s="265"/>
      <c r="K387" s="265"/>
      <c r="L387" s="265"/>
      <c r="M387" s="265"/>
      <c r="N387" s="265"/>
      <c r="O387" s="257"/>
      <c r="P387" s="270"/>
      <c r="Q387" s="271"/>
      <c r="R387" s="270"/>
      <c r="S387" s="280"/>
    </row>
    <row r="388" spans="1:19" ht="12.75" customHeight="1" thickBot="1" x14ac:dyDescent="0.4">
      <c r="A388" s="5" t="s">
        <v>75</v>
      </c>
      <c r="C388"/>
      <c r="D388" s="274"/>
      <c r="E388" s="263"/>
      <c r="F388" s="262"/>
      <c r="G388" s="263"/>
      <c r="H388" s="262"/>
      <c r="I388" s="275"/>
      <c r="J388" s="275"/>
      <c r="K388" s="275"/>
      <c r="L388" s="275"/>
      <c r="M388" s="275"/>
      <c r="N388" s="275"/>
      <c r="O388" s="263"/>
      <c r="P388" s="276"/>
      <c r="Q388" s="277"/>
      <c r="R388" s="276"/>
      <c r="S388" s="281"/>
    </row>
    <row r="403" spans="1:22" ht="23" thickBot="1" x14ac:dyDescent="0.5">
      <c r="C403"/>
      <c r="D403" s="11">
        <f>D353+1</f>
        <v>8</v>
      </c>
      <c r="E403" s="11"/>
      <c r="F403" s="14"/>
      <c r="G403" s="14"/>
      <c r="H403" s="14"/>
      <c r="I403" s="14"/>
      <c r="J403" s="14"/>
      <c r="K403" s="14"/>
      <c r="L403" s="14"/>
      <c r="M403" s="14"/>
      <c r="N403" s="14"/>
      <c r="O403" s="14"/>
      <c r="P403" s="14"/>
      <c r="Q403" s="14"/>
      <c r="R403" s="14"/>
      <c r="S403" s="14"/>
    </row>
    <row r="404" spans="1:22" ht="30" customHeight="1" thickBot="1" x14ac:dyDescent="0.4">
      <c r="A404" s="17" t="s">
        <v>57</v>
      </c>
      <c r="C404"/>
      <c r="D404" s="295" t="e">
        <f ca="1">"Hoshin Implementation Plan "&amp;#REF!&amp;"   -   Must Win Battle / Strategy:   "&amp;$L$2</f>
        <v>#REF!</v>
      </c>
      <c r="E404" s="296"/>
      <c r="F404" s="296"/>
      <c r="G404" s="297"/>
      <c r="H404" s="298" t="e">
        <f ca="1">"Work Stream:   "&amp;OFFSET($E$7,2*(D403+1)-1,0)&amp;" - "&amp;OFFSET($F$7,2*(D403+1)-1,0)</f>
        <v>#NAME?</v>
      </c>
      <c r="I404" s="296"/>
      <c r="J404" s="296"/>
      <c r="K404" s="296"/>
      <c r="L404" s="296"/>
      <c r="M404" s="296"/>
      <c r="N404" s="296"/>
      <c r="O404" s="296"/>
      <c r="P404" s="296"/>
      <c r="Q404" s="296"/>
      <c r="R404" s="296"/>
      <c r="S404" s="299"/>
    </row>
    <row r="405" spans="1:22" ht="26" x14ac:dyDescent="0.35">
      <c r="A405" s="17" t="s">
        <v>57</v>
      </c>
      <c r="C405"/>
      <c r="D405" s="240" t="s">
        <v>1</v>
      </c>
      <c r="E405" s="241"/>
      <c r="F405" s="241"/>
      <c r="G405" s="291"/>
      <c r="H405" s="292" t="s">
        <v>2</v>
      </c>
      <c r="I405" s="241"/>
      <c r="J405" s="291"/>
      <c r="K405" s="292" t="s">
        <v>3</v>
      </c>
      <c r="L405" s="241"/>
      <c r="M405" s="241"/>
      <c r="N405" s="241" t="s">
        <v>58</v>
      </c>
      <c r="O405" s="241"/>
      <c r="P405" s="291"/>
      <c r="Q405" s="293" t="s">
        <v>13</v>
      </c>
      <c r="R405" s="293"/>
      <c r="S405" s="294"/>
    </row>
    <row r="406" spans="1:22" ht="26.25" customHeight="1" x14ac:dyDescent="0.35">
      <c r="A406" s="17" t="s">
        <v>57</v>
      </c>
      <c r="C406"/>
      <c r="D406" s="229" t="e">
        <f>$D$4</f>
        <v>#REF!</v>
      </c>
      <c r="E406" s="230"/>
      <c r="F406" s="230"/>
      <c r="G406" s="230"/>
      <c r="H406" s="231" t="e">
        <f>$F$4</f>
        <v>#REF!</v>
      </c>
      <c r="I406" s="230"/>
      <c r="J406" s="232"/>
      <c r="K406" s="233" t="str">
        <f ca="1">OFFSET($G$7,2*(D403+1)-1,0)</f>
        <v>H</v>
      </c>
      <c r="L406" s="234"/>
      <c r="M406" s="235"/>
      <c r="N406" s="236" t="s">
        <v>6</v>
      </c>
      <c r="O406" s="237"/>
      <c r="P406" s="238"/>
      <c r="Q406" s="236" t="s">
        <v>6</v>
      </c>
      <c r="R406" s="237"/>
      <c r="S406" s="239"/>
    </row>
    <row r="407" spans="1:22" ht="26.5" thickBot="1" x14ac:dyDescent="0.4">
      <c r="A407" s="17" t="s">
        <v>57</v>
      </c>
      <c r="C407"/>
      <c r="D407" s="240" t="s">
        <v>7</v>
      </c>
      <c r="E407" s="241"/>
      <c r="F407" s="241"/>
      <c r="G407" s="241"/>
      <c r="H407" s="241"/>
      <c r="I407" s="241"/>
      <c r="J407" s="241"/>
      <c r="K407" s="241"/>
      <c r="L407" s="241"/>
      <c r="M407" s="241"/>
      <c r="N407" s="241"/>
      <c r="O407" s="241"/>
      <c r="P407" s="241"/>
      <c r="Q407" s="241"/>
      <c r="R407" s="241"/>
      <c r="S407" s="242"/>
    </row>
    <row r="408" spans="1:22" ht="26" x14ac:dyDescent="0.35">
      <c r="A408" s="17" t="s">
        <v>57</v>
      </c>
      <c r="C408"/>
      <c r="D408" s="224" t="s">
        <v>59</v>
      </c>
      <c r="E408" s="225"/>
      <c r="F408" s="225"/>
      <c r="G408" s="225"/>
      <c r="H408" s="225"/>
      <c r="I408" s="225"/>
      <c r="J408" s="225"/>
      <c r="K408" s="225"/>
      <c r="L408" s="225"/>
      <c r="M408" s="225"/>
      <c r="N408" s="225"/>
      <c r="O408" s="225"/>
      <c r="P408" s="225"/>
      <c r="Q408" s="225"/>
      <c r="R408" s="225"/>
      <c r="S408" s="226"/>
      <c r="U408" s="391" t="s">
        <v>16</v>
      </c>
      <c r="V408" s="392"/>
    </row>
    <row r="409" spans="1:22" ht="27" customHeight="1" thickBot="1" x14ac:dyDescent="0.4">
      <c r="A409" s="17" t="s">
        <v>57</v>
      </c>
      <c r="C409"/>
      <c r="D409" s="92" t="s">
        <v>60</v>
      </c>
      <c r="E409" s="227" t="s">
        <v>61</v>
      </c>
      <c r="F409" s="228"/>
      <c r="G409" s="93" t="s">
        <v>11</v>
      </c>
      <c r="H409" s="94" t="s">
        <v>62</v>
      </c>
      <c r="I409" s="94" t="s">
        <v>63</v>
      </c>
      <c r="J409" s="94" t="s">
        <v>64</v>
      </c>
      <c r="K409" s="94" t="s">
        <v>65</v>
      </c>
      <c r="L409" s="94" t="s">
        <v>66</v>
      </c>
      <c r="M409" s="94" t="s">
        <v>67</v>
      </c>
      <c r="N409" s="94" t="s">
        <v>68</v>
      </c>
      <c r="O409" s="94" t="s">
        <v>69</v>
      </c>
      <c r="P409" s="94" t="s">
        <v>70</v>
      </c>
      <c r="Q409" s="94" t="s">
        <v>71</v>
      </c>
      <c r="R409" s="94" t="s">
        <v>72</v>
      </c>
      <c r="S409" s="95" t="s">
        <v>73</v>
      </c>
      <c r="U409" s="287" t="s">
        <v>74</v>
      </c>
      <c r="V409" s="288"/>
    </row>
    <row r="410" spans="1:22" ht="15.75" customHeight="1" thickBot="1" x14ac:dyDescent="0.4">
      <c r="A410" s="8" t="s">
        <v>75</v>
      </c>
      <c r="C410"/>
      <c r="D410" s="250" t="s">
        <v>76</v>
      </c>
      <c r="E410" s="96" t="s">
        <v>77</v>
      </c>
      <c r="F410" s="97" t="s">
        <v>78</v>
      </c>
      <c r="G410" s="65"/>
      <c r="H410" s="66"/>
      <c r="I410" s="67"/>
      <c r="J410" s="67"/>
      <c r="K410" s="67"/>
      <c r="L410" s="67"/>
      <c r="M410" s="68"/>
      <c r="N410" s="68"/>
      <c r="O410" s="68"/>
      <c r="P410" s="68"/>
      <c r="Q410" s="68"/>
      <c r="R410" s="68"/>
      <c r="S410" s="69"/>
      <c r="U410" s="289"/>
      <c r="V410" s="290"/>
    </row>
    <row r="411" spans="1:22" ht="15" thickBot="1" x14ac:dyDescent="0.4">
      <c r="A411" s="8" t="s">
        <v>75</v>
      </c>
      <c r="C411"/>
      <c r="D411" s="251"/>
      <c r="E411" s="70" t="s">
        <v>79</v>
      </c>
      <c r="F411" s="71" t="s">
        <v>80</v>
      </c>
      <c r="G411" s="72"/>
      <c r="H411" s="73"/>
      <c r="I411" s="74"/>
      <c r="J411" s="74"/>
      <c r="K411" s="74"/>
      <c r="L411" s="74"/>
      <c r="M411" s="75"/>
      <c r="N411" s="75"/>
      <c r="O411" s="75"/>
      <c r="P411" s="75"/>
      <c r="Q411" s="75"/>
      <c r="R411" s="75"/>
      <c r="S411" s="76"/>
      <c r="U411" s="199">
        <v>0</v>
      </c>
      <c r="V411" s="200" t="s">
        <v>21</v>
      </c>
    </row>
    <row r="412" spans="1:22" ht="15" thickBot="1" x14ac:dyDescent="0.4">
      <c r="A412" s="8" t="s">
        <v>75</v>
      </c>
      <c r="C412"/>
      <c r="D412" s="251"/>
      <c r="E412" s="77" t="s">
        <v>81</v>
      </c>
      <c r="F412" s="78" t="s">
        <v>82</v>
      </c>
      <c r="G412" s="79"/>
      <c r="H412" s="80"/>
      <c r="I412" s="81"/>
      <c r="J412" s="81"/>
      <c r="K412" s="81"/>
      <c r="L412" s="81"/>
      <c r="M412" s="82"/>
      <c r="N412" s="83"/>
      <c r="O412" s="83"/>
      <c r="P412" s="83"/>
      <c r="Q412" s="83"/>
      <c r="R412" s="83"/>
      <c r="S412" s="84"/>
      <c r="U412" s="33">
        <v>1</v>
      </c>
      <c r="V412" s="201" t="s">
        <v>22</v>
      </c>
    </row>
    <row r="413" spans="1:22" ht="15" thickBot="1" x14ac:dyDescent="0.4">
      <c r="A413" s="8" t="s">
        <v>75</v>
      </c>
      <c r="C413"/>
      <c r="D413" s="251"/>
      <c r="E413" s="77" t="s">
        <v>83</v>
      </c>
      <c r="F413" s="78" t="s">
        <v>84</v>
      </c>
      <c r="G413" s="79"/>
      <c r="H413" s="80"/>
      <c r="I413" s="81"/>
      <c r="J413" s="81"/>
      <c r="K413" s="81"/>
      <c r="L413" s="81"/>
      <c r="M413" s="83"/>
      <c r="N413" s="83"/>
      <c r="O413" s="83"/>
      <c r="P413" s="83"/>
      <c r="Q413" s="83"/>
      <c r="R413" s="83"/>
      <c r="S413" s="84"/>
      <c r="U413" s="41">
        <v>2</v>
      </c>
      <c r="V413" s="202" t="s">
        <v>25</v>
      </c>
    </row>
    <row r="414" spans="1:22" ht="15" thickBot="1" x14ac:dyDescent="0.4">
      <c r="A414" s="5" t="s">
        <v>75</v>
      </c>
      <c r="C414"/>
      <c r="D414" s="251"/>
      <c r="E414" s="77" t="s">
        <v>85</v>
      </c>
      <c r="F414" s="78" t="s">
        <v>86</v>
      </c>
      <c r="G414" s="79"/>
      <c r="H414" s="80"/>
      <c r="I414" s="81"/>
      <c r="J414" s="81"/>
      <c r="K414" s="81"/>
      <c r="L414" s="81"/>
      <c r="M414" s="83"/>
      <c r="N414" s="83"/>
      <c r="O414" s="83"/>
      <c r="P414" s="83"/>
      <c r="Q414" s="83"/>
      <c r="R414" s="83"/>
      <c r="S414" s="84"/>
      <c r="U414" s="38">
        <v>3</v>
      </c>
      <c r="V414" s="203" t="s">
        <v>26</v>
      </c>
    </row>
    <row r="415" spans="1:22" ht="15" thickBot="1" x14ac:dyDescent="0.4">
      <c r="A415" s="5" t="s">
        <v>75</v>
      </c>
      <c r="C415"/>
      <c r="D415" s="252"/>
      <c r="E415" s="77" t="s">
        <v>87</v>
      </c>
      <c r="F415" s="78" t="s">
        <v>88</v>
      </c>
      <c r="G415" s="79"/>
      <c r="H415" s="80"/>
      <c r="I415" s="81"/>
      <c r="J415" s="81"/>
      <c r="K415" s="81"/>
      <c r="L415" s="81"/>
      <c r="M415" s="83"/>
      <c r="N415" s="83"/>
      <c r="O415" s="83"/>
      <c r="P415" s="83"/>
      <c r="Q415" s="83"/>
      <c r="R415" s="83"/>
      <c r="S415" s="84"/>
      <c r="U415" s="35">
        <v>4</v>
      </c>
      <c r="V415" s="204" t="s">
        <v>29</v>
      </c>
    </row>
    <row r="416" spans="1:22" ht="15" thickBot="1" x14ac:dyDescent="0.4">
      <c r="A416" s="5" t="s">
        <v>75</v>
      </c>
      <c r="C416"/>
      <c r="D416" s="253" t="s">
        <v>37</v>
      </c>
      <c r="E416" s="77" t="s">
        <v>89</v>
      </c>
      <c r="F416" s="78" t="s">
        <v>90</v>
      </c>
      <c r="G416" s="79"/>
      <c r="H416" s="80"/>
      <c r="I416" s="81"/>
      <c r="J416" s="81"/>
      <c r="K416" s="81"/>
      <c r="L416" s="81"/>
      <c r="M416" s="83"/>
      <c r="N416" s="83"/>
      <c r="O416" s="83"/>
      <c r="P416" s="83"/>
      <c r="Q416" s="83"/>
      <c r="R416" s="83"/>
      <c r="S416" s="84"/>
      <c r="U416" s="46">
        <v>5</v>
      </c>
      <c r="V416" s="60" t="s">
        <v>30</v>
      </c>
    </row>
    <row r="417" spans="1:19" ht="15" thickBot="1" x14ac:dyDescent="0.4">
      <c r="A417" s="5" t="s">
        <v>75</v>
      </c>
      <c r="C417"/>
      <c r="D417" s="253"/>
      <c r="E417" s="77" t="s">
        <v>91</v>
      </c>
      <c r="F417" s="78" t="s">
        <v>92</v>
      </c>
      <c r="G417" s="79"/>
      <c r="H417" s="80"/>
      <c r="I417" s="81"/>
      <c r="J417" s="81"/>
      <c r="K417" s="81"/>
      <c r="L417" s="81"/>
      <c r="M417" s="83"/>
      <c r="N417" s="83"/>
      <c r="O417" s="83"/>
      <c r="P417" s="83"/>
      <c r="Q417" s="83"/>
      <c r="R417" s="83"/>
      <c r="S417" s="84"/>
    </row>
    <row r="418" spans="1:19" ht="15.75" customHeight="1" thickBot="1" x14ac:dyDescent="0.4">
      <c r="A418" s="5" t="s">
        <v>75</v>
      </c>
      <c r="C418"/>
      <c r="D418" s="243" t="s">
        <v>93</v>
      </c>
      <c r="E418" s="77" t="s">
        <v>94</v>
      </c>
      <c r="F418" s="78" t="s">
        <v>95</v>
      </c>
      <c r="G418" s="79"/>
      <c r="H418" s="80"/>
      <c r="I418" s="81"/>
      <c r="J418" s="81"/>
      <c r="K418" s="81"/>
      <c r="L418" s="81"/>
      <c r="M418" s="83"/>
      <c r="N418" s="83"/>
      <c r="O418" s="83"/>
      <c r="P418" s="83"/>
      <c r="Q418" s="83"/>
      <c r="R418" s="83"/>
      <c r="S418" s="84"/>
    </row>
    <row r="419" spans="1:19" ht="15" thickBot="1" x14ac:dyDescent="0.4">
      <c r="A419" s="5" t="s">
        <v>75</v>
      </c>
      <c r="C419"/>
      <c r="D419" s="244"/>
      <c r="E419" s="77" t="s">
        <v>96</v>
      </c>
      <c r="F419" s="78" t="s">
        <v>97</v>
      </c>
      <c r="G419" s="79"/>
      <c r="H419" s="80"/>
      <c r="I419" s="81"/>
      <c r="J419" s="81"/>
      <c r="K419" s="81"/>
      <c r="L419" s="81"/>
      <c r="M419" s="83"/>
      <c r="N419" s="83"/>
      <c r="O419" s="83"/>
      <c r="P419" s="83"/>
      <c r="Q419" s="83"/>
      <c r="R419" s="83"/>
      <c r="S419" s="84"/>
    </row>
    <row r="420" spans="1:19" ht="15" thickBot="1" x14ac:dyDescent="0.4">
      <c r="A420" s="5" t="s">
        <v>75</v>
      </c>
      <c r="C420"/>
      <c r="D420" s="245" t="s">
        <v>98</v>
      </c>
      <c r="E420" s="77" t="s">
        <v>99</v>
      </c>
      <c r="F420" s="78" t="s">
        <v>100</v>
      </c>
      <c r="G420" s="79"/>
      <c r="H420" s="80"/>
      <c r="I420" s="81"/>
      <c r="J420" s="81"/>
      <c r="K420" s="81"/>
      <c r="L420" s="81"/>
      <c r="M420" s="83"/>
      <c r="N420" s="83"/>
      <c r="O420" s="83"/>
      <c r="P420" s="83"/>
      <c r="Q420" s="83"/>
      <c r="R420" s="83"/>
      <c r="S420" s="84"/>
    </row>
    <row r="421" spans="1:19" ht="15" thickBot="1" x14ac:dyDescent="0.4">
      <c r="A421" s="5" t="s">
        <v>75</v>
      </c>
      <c r="C421"/>
      <c r="D421" s="246"/>
      <c r="E421" s="77" t="s">
        <v>101</v>
      </c>
      <c r="F421" s="78" t="s">
        <v>102</v>
      </c>
      <c r="G421" s="79"/>
      <c r="H421" s="80"/>
      <c r="I421" s="81"/>
      <c r="J421" s="81"/>
      <c r="K421" s="81"/>
      <c r="L421" s="81"/>
      <c r="M421" s="83"/>
      <c r="N421" s="83"/>
      <c r="O421" s="83"/>
      <c r="P421" s="83"/>
      <c r="Q421" s="83"/>
      <c r="R421" s="83"/>
      <c r="S421" s="84"/>
    </row>
    <row r="422" spans="1:19" ht="15" thickBot="1" x14ac:dyDescent="0.4">
      <c r="A422" s="5" t="s">
        <v>75</v>
      </c>
      <c r="C422"/>
      <c r="D422" s="245" t="s">
        <v>103</v>
      </c>
      <c r="E422" s="77" t="s">
        <v>104</v>
      </c>
      <c r="F422" s="78" t="s">
        <v>105</v>
      </c>
      <c r="G422" s="79"/>
      <c r="H422" s="80"/>
      <c r="I422" s="81"/>
      <c r="J422" s="81"/>
      <c r="K422" s="81"/>
      <c r="L422" s="81"/>
      <c r="M422" s="83"/>
      <c r="N422" s="83"/>
      <c r="O422" s="83"/>
      <c r="P422" s="83"/>
      <c r="Q422" s="83"/>
      <c r="R422" s="83"/>
      <c r="S422" s="84"/>
    </row>
    <row r="423" spans="1:19" ht="15" thickBot="1" x14ac:dyDescent="0.4">
      <c r="A423" s="5" t="s">
        <v>75</v>
      </c>
      <c r="C423"/>
      <c r="D423" s="246"/>
      <c r="E423" s="77" t="s">
        <v>106</v>
      </c>
      <c r="F423" s="78" t="s">
        <v>107</v>
      </c>
      <c r="G423" s="79"/>
      <c r="H423" s="80"/>
      <c r="I423" s="81"/>
      <c r="J423" s="81"/>
      <c r="K423" s="81"/>
      <c r="L423" s="81"/>
      <c r="M423" s="83"/>
      <c r="N423" s="83"/>
      <c r="O423" s="83"/>
      <c r="P423" s="83"/>
      <c r="Q423" s="83"/>
      <c r="R423" s="83"/>
      <c r="S423" s="84"/>
    </row>
    <row r="424" spans="1:19" ht="15" thickBot="1" x14ac:dyDescent="0.4">
      <c r="A424" s="5" t="s">
        <v>75</v>
      </c>
      <c r="C424"/>
      <c r="D424" s="245" t="s">
        <v>108</v>
      </c>
      <c r="E424" s="77" t="s">
        <v>109</v>
      </c>
      <c r="F424" s="78" t="s">
        <v>110</v>
      </c>
      <c r="G424" s="79"/>
      <c r="H424" s="80"/>
      <c r="I424" s="81"/>
      <c r="J424" s="81"/>
      <c r="K424" s="81"/>
      <c r="L424" s="81"/>
      <c r="M424" s="83"/>
      <c r="N424" s="83"/>
      <c r="O424" s="83"/>
      <c r="P424" s="83"/>
      <c r="Q424" s="83"/>
      <c r="R424" s="83"/>
      <c r="S424" s="84"/>
    </row>
    <row r="425" spans="1:19" ht="15" thickBot="1" x14ac:dyDescent="0.4">
      <c r="A425" s="5" t="s">
        <v>75</v>
      </c>
      <c r="C425"/>
      <c r="D425" s="244"/>
      <c r="E425" s="85" t="s">
        <v>111</v>
      </c>
      <c r="F425" s="86" t="s">
        <v>112</v>
      </c>
      <c r="G425" s="87"/>
      <c r="H425" s="88"/>
      <c r="I425" s="89"/>
      <c r="J425" s="89"/>
      <c r="K425" s="89"/>
      <c r="L425" s="89"/>
      <c r="M425" s="90"/>
      <c r="N425" s="90"/>
      <c r="O425" s="90"/>
      <c r="P425" s="90"/>
      <c r="Q425" s="90"/>
      <c r="R425" s="90"/>
      <c r="S425" s="91"/>
    </row>
    <row r="426" spans="1:19" ht="23.25" customHeight="1" thickBot="1" x14ac:dyDescent="0.4">
      <c r="A426" s="5" t="s">
        <v>75</v>
      </c>
      <c r="C426"/>
      <c r="D426" s="98" t="s">
        <v>113</v>
      </c>
      <c r="E426" s="98"/>
      <c r="F426" s="98" t="s">
        <v>114</v>
      </c>
      <c r="G426" s="99"/>
      <c r="H426" s="247" t="s">
        <v>115</v>
      </c>
      <c r="I426" s="248"/>
      <c r="J426" s="248"/>
      <c r="K426" s="248"/>
      <c r="L426" s="248"/>
      <c r="M426" s="248"/>
      <c r="N426" s="248"/>
      <c r="O426" s="249"/>
      <c r="P426" s="247" t="s">
        <v>116</v>
      </c>
      <c r="Q426" s="248"/>
      <c r="R426" s="248" t="s">
        <v>117</v>
      </c>
      <c r="S426" s="249"/>
    </row>
    <row r="427" spans="1:19" ht="12.75" customHeight="1" x14ac:dyDescent="0.35">
      <c r="A427" s="5" t="s">
        <v>75</v>
      </c>
      <c r="C427"/>
      <c r="D427" s="254" t="s">
        <v>118</v>
      </c>
      <c r="E427" s="255"/>
      <c r="F427" s="260" t="s">
        <v>119</v>
      </c>
      <c r="G427" s="255"/>
      <c r="H427" s="260" t="s">
        <v>120</v>
      </c>
      <c r="I427" s="264"/>
      <c r="J427" s="264"/>
      <c r="K427" s="264"/>
      <c r="L427" s="264"/>
      <c r="M427" s="264"/>
      <c r="N427" s="264"/>
      <c r="O427" s="255"/>
      <c r="P427" s="268" t="s">
        <v>11</v>
      </c>
      <c r="Q427" s="282"/>
      <c r="R427" s="268" t="s">
        <v>121</v>
      </c>
      <c r="S427" s="285"/>
    </row>
    <row r="428" spans="1:19" ht="12.75" customHeight="1" x14ac:dyDescent="0.35">
      <c r="A428" s="5" t="s">
        <v>75</v>
      </c>
      <c r="C428"/>
      <c r="D428" s="256"/>
      <c r="E428" s="257"/>
      <c r="F428" s="261"/>
      <c r="G428" s="257"/>
      <c r="H428" s="261"/>
      <c r="I428" s="265"/>
      <c r="J428" s="265"/>
      <c r="K428" s="265"/>
      <c r="L428" s="265"/>
      <c r="M428" s="265"/>
      <c r="N428" s="265"/>
      <c r="O428" s="257"/>
      <c r="P428" s="270"/>
      <c r="Q428" s="283"/>
      <c r="R428" s="270"/>
      <c r="S428" s="280"/>
    </row>
    <row r="429" spans="1:19" ht="12.75" customHeight="1" x14ac:dyDescent="0.35">
      <c r="A429" s="5" t="s">
        <v>75</v>
      </c>
      <c r="C429"/>
      <c r="D429" s="256"/>
      <c r="E429" s="257"/>
      <c r="F429" s="261"/>
      <c r="G429" s="257"/>
      <c r="H429" s="261"/>
      <c r="I429" s="265"/>
      <c r="J429" s="265"/>
      <c r="K429" s="265"/>
      <c r="L429" s="265"/>
      <c r="M429" s="265"/>
      <c r="N429" s="265"/>
      <c r="O429" s="257"/>
      <c r="P429" s="270"/>
      <c r="Q429" s="283"/>
      <c r="R429" s="270"/>
      <c r="S429" s="280"/>
    </row>
    <row r="430" spans="1:19" ht="12.75" customHeight="1" thickBot="1" x14ac:dyDescent="0.4">
      <c r="A430" s="5" t="s">
        <v>75</v>
      </c>
      <c r="C430"/>
      <c r="D430" s="258"/>
      <c r="E430" s="259"/>
      <c r="F430" s="262"/>
      <c r="G430" s="263"/>
      <c r="H430" s="266"/>
      <c r="I430" s="267"/>
      <c r="J430" s="267"/>
      <c r="K430" s="267"/>
      <c r="L430" s="267"/>
      <c r="M430" s="267"/>
      <c r="N430" s="267"/>
      <c r="O430" s="259"/>
      <c r="P430" s="272"/>
      <c r="Q430" s="284"/>
      <c r="R430" s="272"/>
      <c r="S430" s="286"/>
    </row>
    <row r="431" spans="1:19" ht="12.75" customHeight="1" x14ac:dyDescent="0.35">
      <c r="A431" s="5" t="s">
        <v>75</v>
      </c>
      <c r="C431"/>
      <c r="D431" s="254" t="s">
        <v>118</v>
      </c>
      <c r="E431" s="255"/>
      <c r="F431" s="260" t="s">
        <v>119</v>
      </c>
      <c r="G431" s="255"/>
      <c r="H431" s="260" t="s">
        <v>120</v>
      </c>
      <c r="I431" s="264"/>
      <c r="J431" s="264"/>
      <c r="K431" s="264"/>
      <c r="L431" s="264"/>
      <c r="M431" s="264"/>
      <c r="N431" s="264"/>
      <c r="O431" s="255"/>
      <c r="P431" s="268" t="s">
        <v>11</v>
      </c>
      <c r="Q431" s="269"/>
      <c r="R431" s="278" t="s">
        <v>121</v>
      </c>
      <c r="S431" s="279"/>
    </row>
    <row r="432" spans="1:19" ht="12.75" customHeight="1" x14ac:dyDescent="0.35">
      <c r="A432" s="5" t="s">
        <v>75</v>
      </c>
      <c r="C432"/>
      <c r="D432" s="256"/>
      <c r="E432" s="257"/>
      <c r="F432" s="261"/>
      <c r="G432" s="257"/>
      <c r="H432" s="261"/>
      <c r="I432" s="265"/>
      <c r="J432" s="265"/>
      <c r="K432" s="265"/>
      <c r="L432" s="265"/>
      <c r="M432" s="265"/>
      <c r="N432" s="265"/>
      <c r="O432" s="257"/>
      <c r="P432" s="270"/>
      <c r="Q432" s="271"/>
      <c r="R432" s="270"/>
      <c r="S432" s="280"/>
    </row>
    <row r="433" spans="1:19" ht="12.75" customHeight="1" x14ac:dyDescent="0.35">
      <c r="A433" s="5" t="s">
        <v>75</v>
      </c>
      <c r="C433"/>
      <c r="D433" s="256"/>
      <c r="E433" s="257"/>
      <c r="F433" s="261"/>
      <c r="G433" s="257"/>
      <c r="H433" s="261"/>
      <c r="I433" s="265"/>
      <c r="J433" s="265"/>
      <c r="K433" s="265"/>
      <c r="L433" s="265"/>
      <c r="M433" s="265"/>
      <c r="N433" s="265"/>
      <c r="O433" s="257"/>
      <c r="P433" s="270"/>
      <c r="Q433" s="271"/>
      <c r="R433" s="270"/>
      <c r="S433" s="280"/>
    </row>
    <row r="434" spans="1:19" ht="12.75" customHeight="1" thickBot="1" x14ac:dyDescent="0.4">
      <c r="A434" s="5" t="s">
        <v>75</v>
      </c>
      <c r="C434"/>
      <c r="D434" s="258"/>
      <c r="E434" s="259"/>
      <c r="F434" s="262"/>
      <c r="G434" s="263"/>
      <c r="H434" s="266"/>
      <c r="I434" s="267"/>
      <c r="J434" s="267"/>
      <c r="K434" s="267"/>
      <c r="L434" s="267"/>
      <c r="M434" s="267"/>
      <c r="N434" s="267"/>
      <c r="O434" s="259"/>
      <c r="P434" s="272"/>
      <c r="Q434" s="273"/>
      <c r="R434" s="272"/>
      <c r="S434" s="286"/>
    </row>
    <row r="435" spans="1:19" ht="12.75" customHeight="1" x14ac:dyDescent="0.35">
      <c r="A435" s="5" t="s">
        <v>75</v>
      </c>
      <c r="C435"/>
      <c r="D435" s="254" t="s">
        <v>118</v>
      </c>
      <c r="E435" s="255"/>
      <c r="F435" s="260" t="s">
        <v>119</v>
      </c>
      <c r="G435" s="255"/>
      <c r="H435" s="260" t="s">
        <v>120</v>
      </c>
      <c r="I435" s="264"/>
      <c r="J435" s="264"/>
      <c r="K435" s="264"/>
      <c r="L435" s="264"/>
      <c r="M435" s="264"/>
      <c r="N435" s="264"/>
      <c r="O435" s="255"/>
      <c r="P435" s="268" t="s">
        <v>11</v>
      </c>
      <c r="Q435" s="269"/>
      <c r="R435" s="278" t="s">
        <v>121</v>
      </c>
      <c r="S435" s="279"/>
    </row>
    <row r="436" spans="1:19" ht="12.75" customHeight="1" x14ac:dyDescent="0.35">
      <c r="A436" s="5" t="s">
        <v>75</v>
      </c>
      <c r="C436"/>
      <c r="D436" s="256"/>
      <c r="E436" s="257"/>
      <c r="F436" s="261"/>
      <c r="G436" s="257"/>
      <c r="H436" s="261"/>
      <c r="I436" s="265"/>
      <c r="J436" s="265"/>
      <c r="K436" s="265"/>
      <c r="L436" s="265"/>
      <c r="M436" s="265"/>
      <c r="N436" s="265"/>
      <c r="O436" s="257"/>
      <c r="P436" s="270"/>
      <c r="Q436" s="271"/>
      <c r="R436" s="270"/>
      <c r="S436" s="280"/>
    </row>
    <row r="437" spans="1:19" ht="12.75" customHeight="1" x14ac:dyDescent="0.35">
      <c r="A437" s="5" t="s">
        <v>75</v>
      </c>
      <c r="C437"/>
      <c r="D437" s="256"/>
      <c r="E437" s="257"/>
      <c r="F437" s="261"/>
      <c r="G437" s="257"/>
      <c r="H437" s="261"/>
      <c r="I437" s="265"/>
      <c r="J437" s="265"/>
      <c r="K437" s="265"/>
      <c r="L437" s="265"/>
      <c r="M437" s="265"/>
      <c r="N437" s="265"/>
      <c r="O437" s="257"/>
      <c r="P437" s="270"/>
      <c r="Q437" s="271"/>
      <c r="R437" s="270"/>
      <c r="S437" s="280"/>
    </row>
    <row r="438" spans="1:19" ht="12.75" customHeight="1" thickBot="1" x14ac:dyDescent="0.4">
      <c r="A438" s="5" t="s">
        <v>75</v>
      </c>
      <c r="C438"/>
      <c r="D438" s="274"/>
      <c r="E438" s="263"/>
      <c r="F438" s="262"/>
      <c r="G438" s="263"/>
      <c r="H438" s="262"/>
      <c r="I438" s="275"/>
      <c r="J438" s="275"/>
      <c r="K438" s="275"/>
      <c r="L438" s="275"/>
      <c r="M438" s="275"/>
      <c r="N438" s="275"/>
      <c r="O438" s="263"/>
      <c r="P438" s="276"/>
      <c r="Q438" s="277"/>
      <c r="R438" s="276"/>
      <c r="S438" s="281"/>
    </row>
    <row r="453" spans="1:22" ht="23" thickBot="1" x14ac:dyDescent="0.5">
      <c r="C453"/>
      <c r="D453" s="11">
        <f>D403+1</f>
        <v>9</v>
      </c>
      <c r="E453" s="11"/>
      <c r="F453" s="14"/>
      <c r="G453" s="14"/>
      <c r="H453" s="14"/>
      <c r="I453" s="14"/>
      <c r="J453" s="14"/>
      <c r="K453" s="14"/>
      <c r="L453" s="14"/>
      <c r="M453" s="14"/>
      <c r="N453" s="14"/>
      <c r="O453" s="14"/>
      <c r="P453" s="14"/>
      <c r="Q453" s="14"/>
      <c r="R453" s="14"/>
      <c r="S453" s="14"/>
    </row>
    <row r="454" spans="1:22" ht="30" customHeight="1" thickBot="1" x14ac:dyDescent="0.4">
      <c r="A454" s="17" t="s">
        <v>57</v>
      </c>
      <c r="C454"/>
      <c r="D454" s="295" t="e">
        <f ca="1">"Hoshin Implementation Plan "&amp;#REF!&amp;"   -   Must Win Battle / Strategy:   "&amp;$L$2</f>
        <v>#REF!</v>
      </c>
      <c r="E454" s="296"/>
      <c r="F454" s="296"/>
      <c r="G454" s="297"/>
      <c r="H454" s="298" t="e">
        <f ca="1">"Work Stream:   "&amp;OFFSET($E$7,2*(D453+1)-1,0)&amp;" - "&amp;OFFSET($F$7,2*(D453+1)-1,0)</f>
        <v>#NAME?</v>
      </c>
      <c r="I454" s="296"/>
      <c r="J454" s="296"/>
      <c r="K454" s="296"/>
      <c r="L454" s="296"/>
      <c r="M454" s="296"/>
      <c r="N454" s="296"/>
      <c r="O454" s="296"/>
      <c r="P454" s="296"/>
      <c r="Q454" s="296"/>
      <c r="R454" s="296"/>
      <c r="S454" s="299"/>
    </row>
    <row r="455" spans="1:22" ht="26" x14ac:dyDescent="0.35">
      <c r="A455" s="17" t="s">
        <v>57</v>
      </c>
      <c r="C455"/>
      <c r="D455" s="240" t="s">
        <v>1</v>
      </c>
      <c r="E455" s="241"/>
      <c r="F455" s="241"/>
      <c r="G455" s="291"/>
      <c r="H455" s="292" t="s">
        <v>2</v>
      </c>
      <c r="I455" s="241"/>
      <c r="J455" s="291"/>
      <c r="K455" s="292" t="s">
        <v>3</v>
      </c>
      <c r="L455" s="241"/>
      <c r="M455" s="241"/>
      <c r="N455" s="241" t="s">
        <v>58</v>
      </c>
      <c r="O455" s="241"/>
      <c r="P455" s="291"/>
      <c r="Q455" s="293" t="s">
        <v>13</v>
      </c>
      <c r="R455" s="293"/>
      <c r="S455" s="294"/>
    </row>
    <row r="456" spans="1:22" ht="26.25" customHeight="1" x14ac:dyDescent="0.35">
      <c r="A456" s="17" t="s">
        <v>57</v>
      </c>
      <c r="C456"/>
      <c r="D456" s="229" t="e">
        <f>$D$4</f>
        <v>#REF!</v>
      </c>
      <c r="E456" s="230"/>
      <c r="F456" s="230"/>
      <c r="G456" s="230"/>
      <c r="H456" s="231" t="e">
        <f>$F$4</f>
        <v>#REF!</v>
      </c>
      <c r="I456" s="230"/>
      <c r="J456" s="232"/>
      <c r="K456" s="233" t="str">
        <f ca="1">OFFSET($G$7,2*(D453+1)-1,0)</f>
        <v>I</v>
      </c>
      <c r="L456" s="234"/>
      <c r="M456" s="235"/>
      <c r="N456" s="236" t="s">
        <v>6</v>
      </c>
      <c r="O456" s="237"/>
      <c r="P456" s="238"/>
      <c r="Q456" s="236" t="s">
        <v>6</v>
      </c>
      <c r="R456" s="237"/>
      <c r="S456" s="239"/>
    </row>
    <row r="457" spans="1:22" ht="26.5" thickBot="1" x14ac:dyDescent="0.4">
      <c r="A457" s="17" t="s">
        <v>57</v>
      </c>
      <c r="C457"/>
      <c r="D457" s="240" t="s">
        <v>7</v>
      </c>
      <c r="E457" s="241"/>
      <c r="F457" s="241"/>
      <c r="G457" s="241"/>
      <c r="H457" s="241"/>
      <c r="I457" s="241"/>
      <c r="J457" s="241"/>
      <c r="K457" s="241"/>
      <c r="L457" s="241"/>
      <c r="M457" s="241"/>
      <c r="N457" s="241"/>
      <c r="O457" s="241"/>
      <c r="P457" s="241"/>
      <c r="Q457" s="241"/>
      <c r="R457" s="241"/>
      <c r="S457" s="242"/>
    </row>
    <row r="458" spans="1:22" ht="26" x14ac:dyDescent="0.35">
      <c r="A458" s="17" t="s">
        <v>57</v>
      </c>
      <c r="C458"/>
      <c r="D458" s="224" t="s">
        <v>59</v>
      </c>
      <c r="E458" s="225"/>
      <c r="F458" s="225"/>
      <c r="G458" s="225"/>
      <c r="H458" s="225"/>
      <c r="I458" s="225"/>
      <c r="J458" s="225"/>
      <c r="K458" s="225"/>
      <c r="L458" s="225"/>
      <c r="M458" s="225"/>
      <c r="N458" s="225"/>
      <c r="O458" s="225"/>
      <c r="P458" s="225"/>
      <c r="Q458" s="225"/>
      <c r="R458" s="225"/>
      <c r="S458" s="226"/>
      <c r="U458" s="391" t="s">
        <v>16</v>
      </c>
      <c r="V458" s="392"/>
    </row>
    <row r="459" spans="1:22" ht="27" customHeight="1" thickBot="1" x14ac:dyDescent="0.4">
      <c r="A459" s="17" t="s">
        <v>57</v>
      </c>
      <c r="C459"/>
      <c r="D459" s="92" t="s">
        <v>60</v>
      </c>
      <c r="E459" s="227" t="s">
        <v>61</v>
      </c>
      <c r="F459" s="228"/>
      <c r="G459" s="93" t="s">
        <v>11</v>
      </c>
      <c r="H459" s="94" t="s">
        <v>62</v>
      </c>
      <c r="I459" s="94" t="s">
        <v>63</v>
      </c>
      <c r="J459" s="94" t="s">
        <v>64</v>
      </c>
      <c r="K459" s="94" t="s">
        <v>65</v>
      </c>
      <c r="L459" s="94" t="s">
        <v>66</v>
      </c>
      <c r="M459" s="94" t="s">
        <v>67</v>
      </c>
      <c r="N459" s="94" t="s">
        <v>68</v>
      </c>
      <c r="O459" s="94" t="s">
        <v>69</v>
      </c>
      <c r="P459" s="94" t="s">
        <v>70</v>
      </c>
      <c r="Q459" s="94" t="s">
        <v>71</v>
      </c>
      <c r="R459" s="94" t="s">
        <v>72</v>
      </c>
      <c r="S459" s="95" t="s">
        <v>73</v>
      </c>
      <c r="U459" s="287" t="s">
        <v>74</v>
      </c>
      <c r="V459" s="288"/>
    </row>
    <row r="460" spans="1:22" ht="15.75" customHeight="1" thickBot="1" x14ac:dyDescent="0.4">
      <c r="A460" s="8" t="s">
        <v>75</v>
      </c>
      <c r="C460"/>
      <c r="D460" s="250" t="s">
        <v>76</v>
      </c>
      <c r="E460" s="96" t="s">
        <v>77</v>
      </c>
      <c r="F460" s="97" t="s">
        <v>78</v>
      </c>
      <c r="G460" s="65"/>
      <c r="H460" s="66"/>
      <c r="I460" s="67"/>
      <c r="J460" s="67"/>
      <c r="K460" s="67"/>
      <c r="L460" s="67"/>
      <c r="M460" s="68"/>
      <c r="N460" s="68"/>
      <c r="O460" s="68"/>
      <c r="P460" s="68"/>
      <c r="Q460" s="68"/>
      <c r="R460" s="68"/>
      <c r="S460" s="69"/>
      <c r="U460" s="289"/>
      <c r="V460" s="290"/>
    </row>
    <row r="461" spans="1:22" ht="15" thickBot="1" x14ac:dyDescent="0.4">
      <c r="A461" s="8" t="s">
        <v>75</v>
      </c>
      <c r="C461"/>
      <c r="D461" s="251"/>
      <c r="E461" s="70" t="s">
        <v>79</v>
      </c>
      <c r="F461" s="71" t="s">
        <v>80</v>
      </c>
      <c r="G461" s="72"/>
      <c r="H461" s="73"/>
      <c r="I461" s="74"/>
      <c r="J461" s="74"/>
      <c r="K461" s="74"/>
      <c r="L461" s="74"/>
      <c r="M461" s="75"/>
      <c r="N461" s="75"/>
      <c r="O461" s="75"/>
      <c r="P461" s="75"/>
      <c r="Q461" s="75"/>
      <c r="R461" s="75"/>
      <c r="S461" s="76"/>
      <c r="U461" s="199">
        <v>0</v>
      </c>
      <c r="V461" s="200" t="s">
        <v>21</v>
      </c>
    </row>
    <row r="462" spans="1:22" ht="15" thickBot="1" x14ac:dyDescent="0.4">
      <c r="A462" s="8" t="s">
        <v>75</v>
      </c>
      <c r="C462"/>
      <c r="D462" s="251"/>
      <c r="E462" s="77" t="s">
        <v>81</v>
      </c>
      <c r="F462" s="78" t="s">
        <v>82</v>
      </c>
      <c r="G462" s="79"/>
      <c r="H462" s="80"/>
      <c r="I462" s="81"/>
      <c r="J462" s="81"/>
      <c r="K462" s="81"/>
      <c r="L462" s="81"/>
      <c r="M462" s="82"/>
      <c r="N462" s="83"/>
      <c r="O462" s="83"/>
      <c r="P462" s="83"/>
      <c r="Q462" s="83"/>
      <c r="R462" s="83"/>
      <c r="S462" s="84"/>
      <c r="U462" s="33">
        <v>1</v>
      </c>
      <c r="V462" s="201" t="s">
        <v>22</v>
      </c>
    </row>
    <row r="463" spans="1:22" ht="15" thickBot="1" x14ac:dyDescent="0.4">
      <c r="A463" s="8" t="s">
        <v>75</v>
      </c>
      <c r="C463"/>
      <c r="D463" s="251"/>
      <c r="E463" s="77" t="s">
        <v>83</v>
      </c>
      <c r="F463" s="78" t="s">
        <v>84</v>
      </c>
      <c r="G463" s="79"/>
      <c r="H463" s="80"/>
      <c r="I463" s="81"/>
      <c r="J463" s="81"/>
      <c r="K463" s="81"/>
      <c r="L463" s="81"/>
      <c r="M463" s="83"/>
      <c r="N463" s="83"/>
      <c r="O463" s="83"/>
      <c r="P463" s="83"/>
      <c r="Q463" s="83"/>
      <c r="R463" s="83"/>
      <c r="S463" s="84"/>
      <c r="U463" s="41">
        <v>2</v>
      </c>
      <c r="V463" s="202" t="s">
        <v>25</v>
      </c>
    </row>
    <row r="464" spans="1:22" ht="15" thickBot="1" x14ac:dyDescent="0.4">
      <c r="A464" s="5" t="s">
        <v>75</v>
      </c>
      <c r="C464"/>
      <c r="D464" s="251"/>
      <c r="E464" s="77" t="s">
        <v>85</v>
      </c>
      <c r="F464" s="78" t="s">
        <v>86</v>
      </c>
      <c r="G464" s="79"/>
      <c r="H464" s="80"/>
      <c r="I464" s="81"/>
      <c r="J464" s="81"/>
      <c r="K464" s="81"/>
      <c r="L464" s="81"/>
      <c r="M464" s="83"/>
      <c r="N464" s="83"/>
      <c r="O464" s="83"/>
      <c r="P464" s="83"/>
      <c r="Q464" s="83"/>
      <c r="R464" s="83"/>
      <c r="S464" s="84"/>
      <c r="U464" s="38">
        <v>3</v>
      </c>
      <c r="V464" s="203" t="s">
        <v>26</v>
      </c>
    </row>
    <row r="465" spans="1:22" ht="15" thickBot="1" x14ac:dyDescent="0.4">
      <c r="A465" s="5" t="s">
        <v>75</v>
      </c>
      <c r="C465"/>
      <c r="D465" s="252"/>
      <c r="E465" s="77" t="s">
        <v>87</v>
      </c>
      <c r="F465" s="78" t="s">
        <v>88</v>
      </c>
      <c r="G465" s="79"/>
      <c r="H465" s="80"/>
      <c r="I465" s="81"/>
      <c r="J465" s="81"/>
      <c r="K465" s="81"/>
      <c r="L465" s="81"/>
      <c r="M465" s="83"/>
      <c r="N465" s="83"/>
      <c r="O465" s="83"/>
      <c r="P465" s="83"/>
      <c r="Q465" s="83"/>
      <c r="R465" s="83"/>
      <c r="S465" s="84"/>
      <c r="U465" s="35">
        <v>4</v>
      </c>
      <c r="V465" s="204" t="s">
        <v>29</v>
      </c>
    </row>
    <row r="466" spans="1:22" ht="15" thickBot="1" x14ac:dyDescent="0.4">
      <c r="A466" s="5" t="s">
        <v>75</v>
      </c>
      <c r="C466"/>
      <c r="D466" s="253" t="s">
        <v>37</v>
      </c>
      <c r="E466" s="77" t="s">
        <v>89</v>
      </c>
      <c r="F466" s="78" t="s">
        <v>90</v>
      </c>
      <c r="G466" s="79"/>
      <c r="H466" s="80"/>
      <c r="I466" s="81"/>
      <c r="J466" s="81"/>
      <c r="K466" s="81"/>
      <c r="L466" s="81"/>
      <c r="M466" s="83"/>
      <c r="N466" s="83"/>
      <c r="O466" s="83"/>
      <c r="P466" s="83"/>
      <c r="Q466" s="83"/>
      <c r="R466" s="83"/>
      <c r="S466" s="84"/>
      <c r="U466" s="46">
        <v>5</v>
      </c>
      <c r="V466" s="60" t="s">
        <v>30</v>
      </c>
    </row>
    <row r="467" spans="1:22" ht="15" thickBot="1" x14ac:dyDescent="0.4">
      <c r="A467" s="5" t="s">
        <v>75</v>
      </c>
      <c r="C467"/>
      <c r="D467" s="253"/>
      <c r="E467" s="77" t="s">
        <v>91</v>
      </c>
      <c r="F467" s="78" t="s">
        <v>92</v>
      </c>
      <c r="G467" s="79"/>
      <c r="H467" s="80"/>
      <c r="I467" s="81"/>
      <c r="J467" s="81"/>
      <c r="K467" s="81"/>
      <c r="L467" s="81"/>
      <c r="M467" s="83"/>
      <c r="N467" s="83"/>
      <c r="O467" s="83"/>
      <c r="P467" s="83"/>
      <c r="Q467" s="83"/>
      <c r="R467" s="83"/>
      <c r="S467" s="84"/>
    </row>
    <row r="468" spans="1:22" ht="15.75" customHeight="1" thickBot="1" x14ac:dyDescent="0.4">
      <c r="A468" s="5" t="s">
        <v>75</v>
      </c>
      <c r="C468"/>
      <c r="D468" s="243" t="s">
        <v>93</v>
      </c>
      <c r="E468" s="77" t="s">
        <v>94</v>
      </c>
      <c r="F468" s="78" t="s">
        <v>95</v>
      </c>
      <c r="G468" s="79"/>
      <c r="H468" s="80"/>
      <c r="I468" s="81"/>
      <c r="J468" s="81"/>
      <c r="K468" s="81"/>
      <c r="L468" s="81"/>
      <c r="M468" s="83"/>
      <c r="N468" s="83"/>
      <c r="O468" s="83"/>
      <c r="P468" s="83"/>
      <c r="Q468" s="83"/>
      <c r="R468" s="83"/>
      <c r="S468" s="84"/>
    </row>
    <row r="469" spans="1:22" ht="15" thickBot="1" x14ac:dyDescent="0.4">
      <c r="A469" s="5" t="s">
        <v>75</v>
      </c>
      <c r="C469"/>
      <c r="D469" s="244"/>
      <c r="E469" s="77" t="s">
        <v>96</v>
      </c>
      <c r="F469" s="78" t="s">
        <v>97</v>
      </c>
      <c r="G469" s="79"/>
      <c r="H469" s="80"/>
      <c r="I469" s="81"/>
      <c r="J469" s="81"/>
      <c r="K469" s="81"/>
      <c r="L469" s="81"/>
      <c r="M469" s="83"/>
      <c r="N469" s="83"/>
      <c r="O469" s="83"/>
      <c r="P469" s="83"/>
      <c r="Q469" s="83"/>
      <c r="R469" s="83"/>
      <c r="S469" s="84"/>
    </row>
    <row r="470" spans="1:22" ht="15" thickBot="1" x14ac:dyDescent="0.4">
      <c r="A470" s="5" t="s">
        <v>75</v>
      </c>
      <c r="C470"/>
      <c r="D470" s="245" t="s">
        <v>98</v>
      </c>
      <c r="E470" s="77" t="s">
        <v>99</v>
      </c>
      <c r="F470" s="78" t="s">
        <v>100</v>
      </c>
      <c r="G470" s="79"/>
      <c r="H470" s="80"/>
      <c r="I470" s="81"/>
      <c r="J470" s="81"/>
      <c r="K470" s="81"/>
      <c r="L470" s="81"/>
      <c r="M470" s="83"/>
      <c r="N470" s="83"/>
      <c r="O470" s="83"/>
      <c r="P470" s="83"/>
      <c r="Q470" s="83"/>
      <c r="R470" s="83"/>
      <c r="S470" s="84"/>
    </row>
    <row r="471" spans="1:22" ht="15" thickBot="1" x14ac:dyDescent="0.4">
      <c r="A471" s="5" t="s">
        <v>75</v>
      </c>
      <c r="C471"/>
      <c r="D471" s="246"/>
      <c r="E471" s="77" t="s">
        <v>101</v>
      </c>
      <c r="F471" s="78" t="s">
        <v>102</v>
      </c>
      <c r="G471" s="79"/>
      <c r="H471" s="80"/>
      <c r="I471" s="81"/>
      <c r="J471" s="81"/>
      <c r="K471" s="81"/>
      <c r="L471" s="81"/>
      <c r="M471" s="83"/>
      <c r="N471" s="83"/>
      <c r="O471" s="83"/>
      <c r="P471" s="83"/>
      <c r="Q471" s="83"/>
      <c r="R471" s="83"/>
      <c r="S471" s="84"/>
    </row>
    <row r="472" spans="1:22" ht="15" thickBot="1" x14ac:dyDescent="0.4">
      <c r="A472" s="5" t="s">
        <v>75</v>
      </c>
      <c r="C472"/>
      <c r="D472" s="245" t="s">
        <v>103</v>
      </c>
      <c r="E472" s="77" t="s">
        <v>104</v>
      </c>
      <c r="F472" s="78" t="s">
        <v>105</v>
      </c>
      <c r="G472" s="79"/>
      <c r="H472" s="80"/>
      <c r="I472" s="81"/>
      <c r="J472" s="81"/>
      <c r="K472" s="81"/>
      <c r="L472" s="81"/>
      <c r="M472" s="83"/>
      <c r="N472" s="83"/>
      <c r="O472" s="83"/>
      <c r="P472" s="83"/>
      <c r="Q472" s="83"/>
      <c r="R472" s="83"/>
      <c r="S472" s="84"/>
    </row>
    <row r="473" spans="1:22" ht="15" thickBot="1" x14ac:dyDescent="0.4">
      <c r="A473" s="5" t="s">
        <v>75</v>
      </c>
      <c r="C473"/>
      <c r="D473" s="246"/>
      <c r="E473" s="77" t="s">
        <v>106</v>
      </c>
      <c r="F473" s="78" t="s">
        <v>107</v>
      </c>
      <c r="G473" s="79"/>
      <c r="H473" s="80"/>
      <c r="I473" s="81"/>
      <c r="J473" s="81"/>
      <c r="K473" s="81"/>
      <c r="L473" s="81"/>
      <c r="M473" s="83"/>
      <c r="N473" s="83"/>
      <c r="O473" s="83"/>
      <c r="P473" s="83"/>
      <c r="Q473" s="83"/>
      <c r="R473" s="83"/>
      <c r="S473" s="84"/>
    </row>
    <row r="474" spans="1:22" ht="15" thickBot="1" x14ac:dyDescent="0.4">
      <c r="A474" s="5" t="s">
        <v>75</v>
      </c>
      <c r="C474"/>
      <c r="D474" s="245" t="s">
        <v>108</v>
      </c>
      <c r="E474" s="77" t="s">
        <v>109</v>
      </c>
      <c r="F474" s="78" t="s">
        <v>110</v>
      </c>
      <c r="G474" s="79"/>
      <c r="H474" s="80"/>
      <c r="I474" s="81"/>
      <c r="J474" s="81"/>
      <c r="K474" s="81"/>
      <c r="L474" s="81"/>
      <c r="M474" s="83"/>
      <c r="N474" s="83"/>
      <c r="O474" s="83"/>
      <c r="P474" s="83"/>
      <c r="Q474" s="83"/>
      <c r="R474" s="83"/>
      <c r="S474" s="84"/>
    </row>
    <row r="475" spans="1:22" ht="15" thickBot="1" x14ac:dyDescent="0.4">
      <c r="A475" s="5" t="s">
        <v>75</v>
      </c>
      <c r="C475"/>
      <c r="D475" s="244"/>
      <c r="E475" s="85" t="s">
        <v>111</v>
      </c>
      <c r="F475" s="86" t="s">
        <v>112</v>
      </c>
      <c r="G475" s="87"/>
      <c r="H475" s="88"/>
      <c r="I475" s="89"/>
      <c r="J475" s="89"/>
      <c r="K475" s="89"/>
      <c r="L475" s="89"/>
      <c r="M475" s="90"/>
      <c r="N475" s="90"/>
      <c r="O475" s="90"/>
      <c r="P475" s="90"/>
      <c r="Q475" s="90"/>
      <c r="R475" s="90"/>
      <c r="S475" s="91"/>
    </row>
    <row r="476" spans="1:22" ht="23.25" customHeight="1" thickBot="1" x14ac:dyDescent="0.4">
      <c r="A476" s="5" t="s">
        <v>75</v>
      </c>
      <c r="C476"/>
      <c r="D476" s="98" t="s">
        <v>113</v>
      </c>
      <c r="E476" s="98"/>
      <c r="F476" s="98" t="s">
        <v>114</v>
      </c>
      <c r="G476" s="99"/>
      <c r="H476" s="247" t="s">
        <v>115</v>
      </c>
      <c r="I476" s="248"/>
      <c r="J476" s="248"/>
      <c r="K476" s="248"/>
      <c r="L476" s="248"/>
      <c r="M476" s="248"/>
      <c r="N476" s="248"/>
      <c r="O476" s="249"/>
      <c r="P476" s="247" t="s">
        <v>116</v>
      </c>
      <c r="Q476" s="248"/>
      <c r="R476" s="248" t="s">
        <v>117</v>
      </c>
      <c r="S476" s="249"/>
    </row>
    <row r="477" spans="1:22" ht="12.75" customHeight="1" x14ac:dyDescent="0.35">
      <c r="A477" s="5" t="s">
        <v>75</v>
      </c>
      <c r="C477"/>
      <c r="D477" s="254" t="s">
        <v>118</v>
      </c>
      <c r="E477" s="255"/>
      <c r="F477" s="260" t="s">
        <v>119</v>
      </c>
      <c r="G477" s="255"/>
      <c r="H477" s="260" t="s">
        <v>120</v>
      </c>
      <c r="I477" s="264"/>
      <c r="J477" s="264"/>
      <c r="K477" s="264"/>
      <c r="L477" s="264"/>
      <c r="M477" s="264"/>
      <c r="N477" s="264"/>
      <c r="O477" s="255"/>
      <c r="P477" s="268" t="s">
        <v>11</v>
      </c>
      <c r="Q477" s="282"/>
      <c r="R477" s="268" t="s">
        <v>121</v>
      </c>
      <c r="S477" s="285"/>
    </row>
    <row r="478" spans="1:22" ht="12.75" customHeight="1" x14ac:dyDescent="0.35">
      <c r="A478" s="5" t="s">
        <v>75</v>
      </c>
      <c r="C478"/>
      <c r="D478" s="256"/>
      <c r="E478" s="257"/>
      <c r="F478" s="261"/>
      <c r="G478" s="257"/>
      <c r="H478" s="261"/>
      <c r="I478" s="265"/>
      <c r="J478" s="265"/>
      <c r="K478" s="265"/>
      <c r="L478" s="265"/>
      <c r="M478" s="265"/>
      <c r="N478" s="265"/>
      <c r="O478" s="257"/>
      <c r="P478" s="270"/>
      <c r="Q478" s="283"/>
      <c r="R478" s="270"/>
      <c r="S478" s="280"/>
    </row>
    <row r="479" spans="1:22" ht="12.75" customHeight="1" x14ac:dyDescent="0.35">
      <c r="A479" s="5" t="s">
        <v>75</v>
      </c>
      <c r="C479"/>
      <c r="D479" s="256"/>
      <c r="E479" s="257"/>
      <c r="F479" s="261"/>
      <c r="G479" s="257"/>
      <c r="H479" s="261"/>
      <c r="I479" s="265"/>
      <c r="J479" s="265"/>
      <c r="K479" s="265"/>
      <c r="L479" s="265"/>
      <c r="M479" s="265"/>
      <c r="N479" s="265"/>
      <c r="O479" s="257"/>
      <c r="P479" s="270"/>
      <c r="Q479" s="283"/>
      <c r="R479" s="270"/>
      <c r="S479" s="280"/>
    </row>
    <row r="480" spans="1:22" ht="12.75" customHeight="1" thickBot="1" x14ac:dyDescent="0.4">
      <c r="A480" s="5" t="s">
        <v>75</v>
      </c>
      <c r="C480"/>
      <c r="D480" s="258"/>
      <c r="E480" s="259"/>
      <c r="F480" s="262"/>
      <c r="G480" s="263"/>
      <c r="H480" s="266"/>
      <c r="I480" s="267"/>
      <c r="J480" s="267"/>
      <c r="K480" s="267"/>
      <c r="L480" s="267"/>
      <c r="M480" s="267"/>
      <c r="N480" s="267"/>
      <c r="O480" s="259"/>
      <c r="P480" s="272"/>
      <c r="Q480" s="284"/>
      <c r="R480" s="272"/>
      <c r="S480" s="286"/>
    </row>
    <row r="481" spans="1:19" ht="12.75" customHeight="1" x14ac:dyDescent="0.35">
      <c r="A481" s="5" t="s">
        <v>75</v>
      </c>
      <c r="C481"/>
      <c r="D481" s="254" t="s">
        <v>118</v>
      </c>
      <c r="E481" s="255"/>
      <c r="F481" s="260" t="s">
        <v>119</v>
      </c>
      <c r="G481" s="255"/>
      <c r="H481" s="260" t="s">
        <v>120</v>
      </c>
      <c r="I481" s="264"/>
      <c r="J481" s="264"/>
      <c r="K481" s="264"/>
      <c r="L481" s="264"/>
      <c r="M481" s="264"/>
      <c r="N481" s="264"/>
      <c r="O481" s="255"/>
      <c r="P481" s="268" t="s">
        <v>11</v>
      </c>
      <c r="Q481" s="269"/>
      <c r="R481" s="278" t="s">
        <v>121</v>
      </c>
      <c r="S481" s="279"/>
    </row>
    <row r="482" spans="1:19" ht="12.75" customHeight="1" x14ac:dyDescent="0.35">
      <c r="A482" s="5" t="s">
        <v>75</v>
      </c>
      <c r="C482"/>
      <c r="D482" s="256"/>
      <c r="E482" s="257"/>
      <c r="F482" s="261"/>
      <c r="G482" s="257"/>
      <c r="H482" s="261"/>
      <c r="I482" s="265"/>
      <c r="J482" s="265"/>
      <c r="K482" s="265"/>
      <c r="L482" s="265"/>
      <c r="M482" s="265"/>
      <c r="N482" s="265"/>
      <c r="O482" s="257"/>
      <c r="P482" s="270"/>
      <c r="Q482" s="271"/>
      <c r="R482" s="270"/>
      <c r="S482" s="280"/>
    </row>
    <row r="483" spans="1:19" ht="12.75" customHeight="1" x14ac:dyDescent="0.35">
      <c r="A483" s="5" t="s">
        <v>75</v>
      </c>
      <c r="C483"/>
      <c r="D483" s="256"/>
      <c r="E483" s="257"/>
      <c r="F483" s="261"/>
      <c r="G483" s="257"/>
      <c r="H483" s="261"/>
      <c r="I483" s="265"/>
      <c r="J483" s="265"/>
      <c r="K483" s="265"/>
      <c r="L483" s="265"/>
      <c r="M483" s="265"/>
      <c r="N483" s="265"/>
      <c r="O483" s="257"/>
      <c r="P483" s="270"/>
      <c r="Q483" s="271"/>
      <c r="R483" s="270"/>
      <c r="S483" s="280"/>
    </row>
    <row r="484" spans="1:19" ht="12.75" customHeight="1" thickBot="1" x14ac:dyDescent="0.4">
      <c r="A484" s="5" t="s">
        <v>75</v>
      </c>
      <c r="C484"/>
      <c r="D484" s="258"/>
      <c r="E484" s="259"/>
      <c r="F484" s="262"/>
      <c r="G484" s="263"/>
      <c r="H484" s="266"/>
      <c r="I484" s="267"/>
      <c r="J484" s="267"/>
      <c r="K484" s="267"/>
      <c r="L484" s="267"/>
      <c r="M484" s="267"/>
      <c r="N484" s="267"/>
      <c r="O484" s="259"/>
      <c r="P484" s="272"/>
      <c r="Q484" s="273"/>
      <c r="R484" s="272"/>
      <c r="S484" s="286"/>
    </row>
    <row r="485" spans="1:19" ht="12.75" customHeight="1" x14ac:dyDescent="0.35">
      <c r="A485" s="5" t="s">
        <v>75</v>
      </c>
      <c r="C485"/>
      <c r="D485" s="254" t="s">
        <v>118</v>
      </c>
      <c r="E485" s="255"/>
      <c r="F485" s="260" t="s">
        <v>119</v>
      </c>
      <c r="G485" s="255"/>
      <c r="H485" s="260" t="s">
        <v>120</v>
      </c>
      <c r="I485" s="264"/>
      <c r="J485" s="264"/>
      <c r="K485" s="264"/>
      <c r="L485" s="264"/>
      <c r="M485" s="264"/>
      <c r="N485" s="264"/>
      <c r="O485" s="255"/>
      <c r="P485" s="268" t="s">
        <v>11</v>
      </c>
      <c r="Q485" s="269"/>
      <c r="R485" s="278" t="s">
        <v>121</v>
      </c>
      <c r="S485" s="279"/>
    </row>
    <row r="486" spans="1:19" ht="12.75" customHeight="1" x14ac:dyDescent="0.35">
      <c r="A486" s="5" t="s">
        <v>75</v>
      </c>
      <c r="C486"/>
      <c r="D486" s="256"/>
      <c r="E486" s="257"/>
      <c r="F486" s="261"/>
      <c r="G486" s="257"/>
      <c r="H486" s="261"/>
      <c r="I486" s="265"/>
      <c r="J486" s="265"/>
      <c r="K486" s="265"/>
      <c r="L486" s="265"/>
      <c r="M486" s="265"/>
      <c r="N486" s="265"/>
      <c r="O486" s="257"/>
      <c r="P486" s="270"/>
      <c r="Q486" s="271"/>
      <c r="R486" s="270"/>
      <c r="S486" s="280"/>
    </row>
    <row r="487" spans="1:19" ht="12.75" customHeight="1" x14ac:dyDescent="0.35">
      <c r="A487" s="5" t="s">
        <v>75</v>
      </c>
      <c r="C487"/>
      <c r="D487" s="256"/>
      <c r="E487" s="257"/>
      <c r="F487" s="261"/>
      <c r="G487" s="257"/>
      <c r="H487" s="261"/>
      <c r="I487" s="265"/>
      <c r="J487" s="265"/>
      <c r="K487" s="265"/>
      <c r="L487" s="265"/>
      <c r="M487" s="265"/>
      <c r="N487" s="265"/>
      <c r="O487" s="257"/>
      <c r="P487" s="270"/>
      <c r="Q487" s="271"/>
      <c r="R487" s="270"/>
      <c r="S487" s="280"/>
    </row>
    <row r="488" spans="1:19" ht="12.75" customHeight="1" thickBot="1" x14ac:dyDescent="0.4">
      <c r="A488" s="5" t="s">
        <v>75</v>
      </c>
      <c r="C488"/>
      <c r="D488" s="274"/>
      <c r="E488" s="263"/>
      <c r="F488" s="262"/>
      <c r="G488" s="263"/>
      <c r="H488" s="262"/>
      <c r="I488" s="275"/>
      <c r="J488" s="275"/>
      <c r="K488" s="275"/>
      <c r="L488" s="275"/>
      <c r="M488" s="275"/>
      <c r="N488" s="275"/>
      <c r="O488" s="263"/>
      <c r="P488" s="276"/>
      <c r="Q488" s="277"/>
      <c r="R488" s="276"/>
      <c r="S488" s="281"/>
    </row>
    <row r="503" spans="1:22" ht="23" thickBot="1" x14ac:dyDescent="0.5">
      <c r="C503"/>
      <c r="D503" s="11">
        <f>D453+1</f>
        <v>10</v>
      </c>
      <c r="E503" s="11"/>
      <c r="F503" s="14"/>
      <c r="G503" s="14"/>
      <c r="H503" s="14"/>
      <c r="I503" s="14"/>
      <c r="J503" s="14"/>
      <c r="K503" s="14"/>
      <c r="L503" s="14"/>
      <c r="M503" s="14"/>
      <c r="N503" s="14"/>
      <c r="O503" s="14"/>
      <c r="P503" s="14"/>
      <c r="Q503" s="14"/>
      <c r="R503" s="14"/>
      <c r="S503" s="14"/>
    </row>
    <row r="504" spans="1:22" ht="30" customHeight="1" thickBot="1" x14ac:dyDescent="0.4">
      <c r="A504" s="17" t="s">
        <v>57</v>
      </c>
      <c r="C504"/>
      <c r="D504" s="295" t="e">
        <f ca="1">"Hoshin Implementation Plan "&amp;#REF!&amp;"   -   Must Win Battle / Strategy:   "&amp;$L$2</f>
        <v>#REF!</v>
      </c>
      <c r="E504" s="296"/>
      <c r="F504" s="296"/>
      <c r="G504" s="297"/>
      <c r="H504" s="298" t="e">
        <f ca="1">"Work Stream:   "&amp;OFFSET($E$7,2*(D503+1)-1,0)&amp;" - "&amp;OFFSET($F$7,2*(D503+1)-1,0)</f>
        <v>#NAME?</v>
      </c>
      <c r="I504" s="296"/>
      <c r="J504" s="296"/>
      <c r="K504" s="296"/>
      <c r="L504" s="296"/>
      <c r="M504" s="296"/>
      <c r="N504" s="296"/>
      <c r="O504" s="296"/>
      <c r="P504" s="296"/>
      <c r="Q504" s="296"/>
      <c r="R504" s="296"/>
      <c r="S504" s="299"/>
    </row>
    <row r="505" spans="1:22" ht="26" x14ac:dyDescent="0.35">
      <c r="A505" s="17" t="s">
        <v>57</v>
      </c>
      <c r="C505"/>
      <c r="D505" s="240" t="s">
        <v>1</v>
      </c>
      <c r="E505" s="241"/>
      <c r="F505" s="241"/>
      <c r="G505" s="291"/>
      <c r="H505" s="292" t="s">
        <v>2</v>
      </c>
      <c r="I505" s="241"/>
      <c r="J505" s="291"/>
      <c r="K505" s="292" t="s">
        <v>3</v>
      </c>
      <c r="L505" s="241"/>
      <c r="M505" s="241"/>
      <c r="N505" s="241" t="s">
        <v>58</v>
      </c>
      <c r="O505" s="241"/>
      <c r="P505" s="291"/>
      <c r="Q505" s="293" t="s">
        <v>13</v>
      </c>
      <c r="R505" s="293"/>
      <c r="S505" s="294"/>
    </row>
    <row r="506" spans="1:22" ht="26.25" customHeight="1" x14ac:dyDescent="0.35">
      <c r="A506" s="17" t="s">
        <v>57</v>
      </c>
      <c r="C506"/>
      <c r="D506" s="229" t="e">
        <f>$D$4</f>
        <v>#REF!</v>
      </c>
      <c r="E506" s="230"/>
      <c r="F506" s="230"/>
      <c r="G506" s="230"/>
      <c r="H506" s="231" t="e">
        <f>$F$4</f>
        <v>#REF!</v>
      </c>
      <c r="I506" s="230"/>
      <c r="J506" s="232"/>
      <c r="K506" s="233" t="str">
        <f ca="1">OFFSET($G$7,2*(D503+1)-1,0)</f>
        <v>J</v>
      </c>
      <c r="L506" s="234"/>
      <c r="M506" s="235"/>
      <c r="N506" s="236" t="s">
        <v>6</v>
      </c>
      <c r="O506" s="237"/>
      <c r="P506" s="238"/>
      <c r="Q506" s="236" t="s">
        <v>6</v>
      </c>
      <c r="R506" s="237"/>
      <c r="S506" s="239"/>
    </row>
    <row r="507" spans="1:22" ht="26.5" thickBot="1" x14ac:dyDescent="0.4">
      <c r="A507" s="17" t="s">
        <v>57</v>
      </c>
      <c r="C507"/>
      <c r="D507" s="240" t="s">
        <v>7</v>
      </c>
      <c r="E507" s="241"/>
      <c r="F507" s="241"/>
      <c r="G507" s="241"/>
      <c r="H507" s="241"/>
      <c r="I507" s="241"/>
      <c r="J507" s="241"/>
      <c r="K507" s="241"/>
      <c r="L507" s="241"/>
      <c r="M507" s="241"/>
      <c r="N507" s="241"/>
      <c r="O507" s="241"/>
      <c r="P507" s="241"/>
      <c r="Q507" s="241"/>
      <c r="R507" s="241"/>
      <c r="S507" s="242"/>
    </row>
    <row r="508" spans="1:22" ht="26" x14ac:dyDescent="0.35">
      <c r="A508" s="17" t="s">
        <v>57</v>
      </c>
      <c r="C508"/>
      <c r="D508" s="224" t="s">
        <v>59</v>
      </c>
      <c r="E508" s="225"/>
      <c r="F508" s="225"/>
      <c r="G508" s="225"/>
      <c r="H508" s="225"/>
      <c r="I508" s="225"/>
      <c r="J508" s="225"/>
      <c r="K508" s="225"/>
      <c r="L508" s="225"/>
      <c r="M508" s="225"/>
      <c r="N508" s="225"/>
      <c r="O508" s="225"/>
      <c r="P508" s="225"/>
      <c r="Q508" s="225"/>
      <c r="R508" s="225"/>
      <c r="S508" s="226"/>
      <c r="U508" s="391" t="s">
        <v>16</v>
      </c>
      <c r="V508" s="392"/>
    </row>
    <row r="509" spans="1:22" ht="27" customHeight="1" thickBot="1" x14ac:dyDescent="0.4">
      <c r="A509" s="17" t="s">
        <v>57</v>
      </c>
      <c r="C509"/>
      <c r="D509" s="92" t="s">
        <v>60</v>
      </c>
      <c r="E509" s="227" t="s">
        <v>61</v>
      </c>
      <c r="F509" s="228"/>
      <c r="G509" s="93" t="s">
        <v>11</v>
      </c>
      <c r="H509" s="94" t="s">
        <v>62</v>
      </c>
      <c r="I509" s="94" t="s">
        <v>63</v>
      </c>
      <c r="J509" s="94" t="s">
        <v>64</v>
      </c>
      <c r="K509" s="94" t="s">
        <v>65</v>
      </c>
      <c r="L509" s="94" t="s">
        <v>66</v>
      </c>
      <c r="M509" s="94" t="s">
        <v>67</v>
      </c>
      <c r="N509" s="94" t="s">
        <v>68</v>
      </c>
      <c r="O509" s="94" t="s">
        <v>69</v>
      </c>
      <c r="P509" s="94" t="s">
        <v>70</v>
      </c>
      <c r="Q509" s="94" t="s">
        <v>71</v>
      </c>
      <c r="R509" s="94" t="s">
        <v>72</v>
      </c>
      <c r="S509" s="95" t="s">
        <v>73</v>
      </c>
      <c r="U509" s="287" t="s">
        <v>74</v>
      </c>
      <c r="V509" s="288"/>
    </row>
    <row r="510" spans="1:22" ht="15.75" customHeight="1" thickBot="1" x14ac:dyDescent="0.4">
      <c r="A510" s="8" t="s">
        <v>75</v>
      </c>
      <c r="C510"/>
      <c r="D510" s="250" t="s">
        <v>76</v>
      </c>
      <c r="E510" s="96" t="s">
        <v>77</v>
      </c>
      <c r="F510" s="97" t="s">
        <v>78</v>
      </c>
      <c r="G510" s="65"/>
      <c r="H510" s="66"/>
      <c r="I510" s="67"/>
      <c r="J510" s="67"/>
      <c r="K510" s="67"/>
      <c r="L510" s="67"/>
      <c r="M510" s="68"/>
      <c r="N510" s="68"/>
      <c r="O510" s="68"/>
      <c r="P510" s="68"/>
      <c r="Q510" s="68"/>
      <c r="R510" s="68"/>
      <c r="S510" s="69"/>
      <c r="U510" s="289"/>
      <c r="V510" s="290"/>
    </row>
    <row r="511" spans="1:22" ht="15" thickBot="1" x14ac:dyDescent="0.4">
      <c r="A511" s="8" t="s">
        <v>75</v>
      </c>
      <c r="C511"/>
      <c r="D511" s="251"/>
      <c r="E511" s="70" t="s">
        <v>79</v>
      </c>
      <c r="F511" s="71" t="s">
        <v>80</v>
      </c>
      <c r="G511" s="72"/>
      <c r="H511" s="73"/>
      <c r="I511" s="74"/>
      <c r="J511" s="74"/>
      <c r="K511" s="74"/>
      <c r="L511" s="74"/>
      <c r="M511" s="75"/>
      <c r="N511" s="75"/>
      <c r="O511" s="75"/>
      <c r="P511" s="75"/>
      <c r="Q511" s="75"/>
      <c r="R511" s="75"/>
      <c r="S511" s="76"/>
      <c r="U511" s="199">
        <v>0</v>
      </c>
      <c r="V511" s="200" t="s">
        <v>21</v>
      </c>
    </row>
    <row r="512" spans="1:22" ht="15" thickBot="1" x14ac:dyDescent="0.4">
      <c r="A512" s="8" t="s">
        <v>75</v>
      </c>
      <c r="C512"/>
      <c r="D512" s="251"/>
      <c r="E512" s="77" t="s">
        <v>81</v>
      </c>
      <c r="F512" s="78" t="s">
        <v>82</v>
      </c>
      <c r="G512" s="79"/>
      <c r="H512" s="80"/>
      <c r="I512" s="81"/>
      <c r="J512" s="81"/>
      <c r="K512" s="81"/>
      <c r="L512" s="81"/>
      <c r="M512" s="82"/>
      <c r="N512" s="83"/>
      <c r="O512" s="83"/>
      <c r="P512" s="83"/>
      <c r="Q512" s="83"/>
      <c r="R512" s="83"/>
      <c r="S512" s="84"/>
      <c r="U512" s="33">
        <v>1</v>
      </c>
      <c r="V512" s="201" t="s">
        <v>22</v>
      </c>
    </row>
    <row r="513" spans="1:22" ht="15" thickBot="1" x14ac:dyDescent="0.4">
      <c r="A513" s="8" t="s">
        <v>75</v>
      </c>
      <c r="C513"/>
      <c r="D513" s="251"/>
      <c r="E513" s="77" t="s">
        <v>83</v>
      </c>
      <c r="F513" s="78" t="s">
        <v>84</v>
      </c>
      <c r="G513" s="79"/>
      <c r="H513" s="80"/>
      <c r="I513" s="81"/>
      <c r="J513" s="81"/>
      <c r="K513" s="81"/>
      <c r="L513" s="81"/>
      <c r="M513" s="83"/>
      <c r="N513" s="83"/>
      <c r="O513" s="83"/>
      <c r="P513" s="83"/>
      <c r="Q513" s="83"/>
      <c r="R513" s="83"/>
      <c r="S513" s="84"/>
      <c r="U513" s="41">
        <v>2</v>
      </c>
      <c r="V513" s="202" t="s">
        <v>25</v>
      </c>
    </row>
    <row r="514" spans="1:22" ht="15" thickBot="1" x14ac:dyDescent="0.4">
      <c r="A514" s="5" t="s">
        <v>75</v>
      </c>
      <c r="C514"/>
      <c r="D514" s="251"/>
      <c r="E514" s="77" t="s">
        <v>85</v>
      </c>
      <c r="F514" s="78" t="s">
        <v>86</v>
      </c>
      <c r="G514" s="79"/>
      <c r="H514" s="80"/>
      <c r="I514" s="81"/>
      <c r="J514" s="81"/>
      <c r="K514" s="81"/>
      <c r="L514" s="81"/>
      <c r="M514" s="83"/>
      <c r="N514" s="83"/>
      <c r="O514" s="83"/>
      <c r="P514" s="83"/>
      <c r="Q514" s="83"/>
      <c r="R514" s="83"/>
      <c r="S514" s="84"/>
      <c r="U514" s="38">
        <v>3</v>
      </c>
      <c r="V514" s="203" t="s">
        <v>26</v>
      </c>
    </row>
    <row r="515" spans="1:22" ht="15" thickBot="1" x14ac:dyDescent="0.4">
      <c r="A515" s="5" t="s">
        <v>75</v>
      </c>
      <c r="C515"/>
      <c r="D515" s="252"/>
      <c r="E515" s="77" t="s">
        <v>87</v>
      </c>
      <c r="F515" s="78" t="s">
        <v>88</v>
      </c>
      <c r="G515" s="79"/>
      <c r="H515" s="80"/>
      <c r="I515" s="81"/>
      <c r="J515" s="81"/>
      <c r="K515" s="81"/>
      <c r="L515" s="81"/>
      <c r="M515" s="83"/>
      <c r="N515" s="83"/>
      <c r="O515" s="83"/>
      <c r="P515" s="83"/>
      <c r="Q515" s="83"/>
      <c r="R515" s="83"/>
      <c r="S515" s="84"/>
      <c r="U515" s="35">
        <v>4</v>
      </c>
      <c r="V515" s="204" t="s">
        <v>29</v>
      </c>
    </row>
    <row r="516" spans="1:22" ht="15" thickBot="1" x14ac:dyDescent="0.4">
      <c r="A516" s="5" t="s">
        <v>75</v>
      </c>
      <c r="C516"/>
      <c r="D516" s="253" t="s">
        <v>37</v>
      </c>
      <c r="E516" s="77" t="s">
        <v>89</v>
      </c>
      <c r="F516" s="78" t="s">
        <v>90</v>
      </c>
      <c r="G516" s="79"/>
      <c r="H516" s="80"/>
      <c r="I516" s="81"/>
      <c r="J516" s="81"/>
      <c r="K516" s="81"/>
      <c r="L516" s="81"/>
      <c r="M516" s="83"/>
      <c r="N516" s="83"/>
      <c r="O516" s="83"/>
      <c r="P516" s="83"/>
      <c r="Q516" s="83"/>
      <c r="R516" s="83"/>
      <c r="S516" s="84"/>
      <c r="U516" s="46">
        <v>5</v>
      </c>
      <c r="V516" s="60" t="s">
        <v>30</v>
      </c>
    </row>
    <row r="517" spans="1:22" ht="15" thickBot="1" x14ac:dyDescent="0.4">
      <c r="A517" s="5" t="s">
        <v>75</v>
      </c>
      <c r="C517"/>
      <c r="D517" s="253"/>
      <c r="E517" s="77" t="s">
        <v>91</v>
      </c>
      <c r="F517" s="78" t="s">
        <v>92</v>
      </c>
      <c r="G517" s="79"/>
      <c r="H517" s="80"/>
      <c r="I517" s="81"/>
      <c r="J517" s="81"/>
      <c r="K517" s="81"/>
      <c r="L517" s="81"/>
      <c r="M517" s="83"/>
      <c r="N517" s="83"/>
      <c r="O517" s="83"/>
      <c r="P517" s="83"/>
      <c r="Q517" s="83"/>
      <c r="R517" s="83"/>
      <c r="S517" s="84"/>
    </row>
    <row r="518" spans="1:22" ht="15.75" customHeight="1" thickBot="1" x14ac:dyDescent="0.4">
      <c r="A518" s="5" t="s">
        <v>75</v>
      </c>
      <c r="C518"/>
      <c r="D518" s="243" t="s">
        <v>93</v>
      </c>
      <c r="E518" s="77" t="s">
        <v>94</v>
      </c>
      <c r="F518" s="78" t="s">
        <v>95</v>
      </c>
      <c r="G518" s="79"/>
      <c r="H518" s="80"/>
      <c r="I518" s="81"/>
      <c r="J518" s="81"/>
      <c r="K518" s="81"/>
      <c r="L518" s="81"/>
      <c r="M518" s="83"/>
      <c r="N518" s="83"/>
      <c r="O518" s="83"/>
      <c r="P518" s="83"/>
      <c r="Q518" s="83"/>
      <c r="R518" s="83"/>
      <c r="S518" s="84"/>
    </row>
    <row r="519" spans="1:22" ht="15" thickBot="1" x14ac:dyDescent="0.4">
      <c r="A519" s="5" t="s">
        <v>75</v>
      </c>
      <c r="C519"/>
      <c r="D519" s="244"/>
      <c r="E519" s="77" t="s">
        <v>96</v>
      </c>
      <c r="F519" s="78" t="s">
        <v>97</v>
      </c>
      <c r="G519" s="79"/>
      <c r="H519" s="80"/>
      <c r="I519" s="81"/>
      <c r="J519" s="81"/>
      <c r="K519" s="81"/>
      <c r="L519" s="81"/>
      <c r="M519" s="83"/>
      <c r="N519" s="83"/>
      <c r="O519" s="83"/>
      <c r="P519" s="83"/>
      <c r="Q519" s="83"/>
      <c r="R519" s="83"/>
      <c r="S519" s="84"/>
    </row>
    <row r="520" spans="1:22" ht="15" thickBot="1" x14ac:dyDescent="0.4">
      <c r="A520" s="5" t="s">
        <v>75</v>
      </c>
      <c r="C520"/>
      <c r="D520" s="245" t="s">
        <v>98</v>
      </c>
      <c r="E520" s="77" t="s">
        <v>99</v>
      </c>
      <c r="F520" s="78" t="s">
        <v>100</v>
      </c>
      <c r="G520" s="79"/>
      <c r="H520" s="80"/>
      <c r="I520" s="81"/>
      <c r="J520" s="81"/>
      <c r="K520" s="81"/>
      <c r="L520" s="81"/>
      <c r="M520" s="83"/>
      <c r="N520" s="83"/>
      <c r="O520" s="83"/>
      <c r="P520" s="83"/>
      <c r="Q520" s="83"/>
      <c r="R520" s="83"/>
      <c r="S520" s="84"/>
    </row>
    <row r="521" spans="1:22" ht="15" thickBot="1" x14ac:dyDescent="0.4">
      <c r="A521" s="5" t="s">
        <v>75</v>
      </c>
      <c r="C521"/>
      <c r="D521" s="246"/>
      <c r="E521" s="77" t="s">
        <v>101</v>
      </c>
      <c r="F521" s="78" t="s">
        <v>102</v>
      </c>
      <c r="G521" s="79"/>
      <c r="H521" s="80"/>
      <c r="I521" s="81"/>
      <c r="J521" s="81"/>
      <c r="K521" s="81"/>
      <c r="L521" s="81"/>
      <c r="M521" s="83"/>
      <c r="N521" s="83"/>
      <c r="O521" s="83"/>
      <c r="P521" s="83"/>
      <c r="Q521" s="83"/>
      <c r="R521" s="83"/>
      <c r="S521" s="84"/>
    </row>
    <row r="522" spans="1:22" ht="15" thickBot="1" x14ac:dyDescent="0.4">
      <c r="A522" s="5" t="s">
        <v>75</v>
      </c>
      <c r="C522"/>
      <c r="D522" s="245" t="s">
        <v>103</v>
      </c>
      <c r="E522" s="77" t="s">
        <v>104</v>
      </c>
      <c r="F522" s="78" t="s">
        <v>105</v>
      </c>
      <c r="G522" s="79"/>
      <c r="H522" s="80"/>
      <c r="I522" s="81"/>
      <c r="J522" s="81"/>
      <c r="K522" s="81"/>
      <c r="L522" s="81"/>
      <c r="M522" s="83"/>
      <c r="N522" s="83"/>
      <c r="O522" s="83"/>
      <c r="P522" s="83"/>
      <c r="Q522" s="83"/>
      <c r="R522" s="83"/>
      <c r="S522" s="84"/>
    </row>
    <row r="523" spans="1:22" ht="15" thickBot="1" x14ac:dyDescent="0.4">
      <c r="A523" s="5" t="s">
        <v>75</v>
      </c>
      <c r="C523"/>
      <c r="D523" s="246"/>
      <c r="E523" s="77" t="s">
        <v>106</v>
      </c>
      <c r="F523" s="78" t="s">
        <v>107</v>
      </c>
      <c r="G523" s="79"/>
      <c r="H523" s="80"/>
      <c r="I523" s="81"/>
      <c r="J523" s="81"/>
      <c r="K523" s="81"/>
      <c r="L523" s="81"/>
      <c r="M523" s="83"/>
      <c r="N523" s="83"/>
      <c r="O523" s="83"/>
      <c r="P523" s="83"/>
      <c r="Q523" s="83"/>
      <c r="R523" s="83"/>
      <c r="S523" s="84"/>
    </row>
    <row r="524" spans="1:22" ht="15" thickBot="1" x14ac:dyDescent="0.4">
      <c r="A524" s="5" t="s">
        <v>75</v>
      </c>
      <c r="C524"/>
      <c r="D524" s="245" t="s">
        <v>108</v>
      </c>
      <c r="E524" s="77" t="s">
        <v>109</v>
      </c>
      <c r="F524" s="78" t="s">
        <v>110</v>
      </c>
      <c r="G524" s="79"/>
      <c r="H524" s="80"/>
      <c r="I524" s="81"/>
      <c r="J524" s="81"/>
      <c r="K524" s="81"/>
      <c r="L524" s="81"/>
      <c r="M524" s="83"/>
      <c r="N524" s="83"/>
      <c r="O524" s="83"/>
      <c r="P524" s="83"/>
      <c r="Q524" s="83"/>
      <c r="R524" s="83"/>
      <c r="S524" s="84"/>
    </row>
    <row r="525" spans="1:22" ht="15" thickBot="1" x14ac:dyDescent="0.4">
      <c r="A525" s="5" t="s">
        <v>75</v>
      </c>
      <c r="C525"/>
      <c r="D525" s="244"/>
      <c r="E525" s="85" t="s">
        <v>111</v>
      </c>
      <c r="F525" s="86" t="s">
        <v>112</v>
      </c>
      <c r="G525" s="87"/>
      <c r="H525" s="88"/>
      <c r="I525" s="89"/>
      <c r="J525" s="89"/>
      <c r="K525" s="89"/>
      <c r="L525" s="89"/>
      <c r="M525" s="90"/>
      <c r="N525" s="90"/>
      <c r="O525" s="90"/>
      <c r="P525" s="90"/>
      <c r="Q525" s="90"/>
      <c r="R525" s="90"/>
      <c r="S525" s="91"/>
    </row>
    <row r="526" spans="1:22" ht="23.25" customHeight="1" thickBot="1" x14ac:dyDescent="0.4">
      <c r="A526" s="5" t="s">
        <v>75</v>
      </c>
      <c r="C526"/>
      <c r="D526" s="98" t="s">
        <v>113</v>
      </c>
      <c r="E526" s="98"/>
      <c r="F526" s="98" t="s">
        <v>114</v>
      </c>
      <c r="G526" s="99"/>
      <c r="H526" s="247" t="s">
        <v>115</v>
      </c>
      <c r="I526" s="248"/>
      <c r="J526" s="248"/>
      <c r="K526" s="248"/>
      <c r="L526" s="248"/>
      <c r="M526" s="248"/>
      <c r="N526" s="248"/>
      <c r="O526" s="249"/>
      <c r="P526" s="247" t="s">
        <v>116</v>
      </c>
      <c r="Q526" s="248"/>
      <c r="R526" s="248" t="s">
        <v>117</v>
      </c>
      <c r="S526" s="249"/>
    </row>
    <row r="527" spans="1:22" ht="12.75" customHeight="1" x14ac:dyDescent="0.35">
      <c r="A527" s="5" t="s">
        <v>75</v>
      </c>
      <c r="C527"/>
      <c r="D527" s="254" t="s">
        <v>118</v>
      </c>
      <c r="E527" s="255"/>
      <c r="F527" s="260" t="s">
        <v>119</v>
      </c>
      <c r="G527" s="255"/>
      <c r="H527" s="260" t="s">
        <v>120</v>
      </c>
      <c r="I527" s="264"/>
      <c r="J527" s="264"/>
      <c r="K527" s="264"/>
      <c r="L527" s="264"/>
      <c r="M527" s="264"/>
      <c r="N527" s="264"/>
      <c r="O527" s="255"/>
      <c r="P527" s="268" t="s">
        <v>11</v>
      </c>
      <c r="Q527" s="282"/>
      <c r="R527" s="268" t="s">
        <v>121</v>
      </c>
      <c r="S527" s="285"/>
    </row>
    <row r="528" spans="1:22" ht="12.75" customHeight="1" x14ac:dyDescent="0.35">
      <c r="A528" s="5" t="s">
        <v>75</v>
      </c>
      <c r="C528"/>
      <c r="D528" s="256"/>
      <c r="E528" s="257"/>
      <c r="F528" s="261"/>
      <c r="G528" s="257"/>
      <c r="H528" s="261"/>
      <c r="I528" s="265"/>
      <c r="J528" s="265"/>
      <c r="K528" s="265"/>
      <c r="L528" s="265"/>
      <c r="M528" s="265"/>
      <c r="N528" s="265"/>
      <c r="O528" s="257"/>
      <c r="P528" s="270"/>
      <c r="Q528" s="283"/>
      <c r="R528" s="270"/>
      <c r="S528" s="280"/>
    </row>
    <row r="529" spans="1:19" ht="12.75" customHeight="1" x14ac:dyDescent="0.35">
      <c r="A529" s="5" t="s">
        <v>75</v>
      </c>
      <c r="C529"/>
      <c r="D529" s="256"/>
      <c r="E529" s="257"/>
      <c r="F529" s="261"/>
      <c r="G529" s="257"/>
      <c r="H529" s="261"/>
      <c r="I529" s="265"/>
      <c r="J529" s="265"/>
      <c r="K529" s="265"/>
      <c r="L529" s="265"/>
      <c r="M529" s="265"/>
      <c r="N529" s="265"/>
      <c r="O529" s="257"/>
      <c r="P529" s="270"/>
      <c r="Q529" s="283"/>
      <c r="R529" s="270"/>
      <c r="S529" s="280"/>
    </row>
    <row r="530" spans="1:19" ht="12.75" customHeight="1" thickBot="1" x14ac:dyDescent="0.4">
      <c r="A530" s="5" t="s">
        <v>75</v>
      </c>
      <c r="C530"/>
      <c r="D530" s="258"/>
      <c r="E530" s="259"/>
      <c r="F530" s="262"/>
      <c r="G530" s="263"/>
      <c r="H530" s="266"/>
      <c r="I530" s="267"/>
      <c r="J530" s="267"/>
      <c r="K530" s="267"/>
      <c r="L530" s="267"/>
      <c r="M530" s="267"/>
      <c r="N530" s="267"/>
      <c r="O530" s="259"/>
      <c r="P530" s="272"/>
      <c r="Q530" s="284"/>
      <c r="R530" s="272"/>
      <c r="S530" s="286"/>
    </row>
    <row r="531" spans="1:19" ht="12.75" customHeight="1" x14ac:dyDescent="0.35">
      <c r="A531" s="5" t="s">
        <v>75</v>
      </c>
      <c r="C531"/>
      <c r="D531" s="254" t="s">
        <v>118</v>
      </c>
      <c r="E531" s="255"/>
      <c r="F531" s="260" t="s">
        <v>119</v>
      </c>
      <c r="G531" s="255"/>
      <c r="H531" s="260" t="s">
        <v>120</v>
      </c>
      <c r="I531" s="264"/>
      <c r="J531" s="264"/>
      <c r="K531" s="264"/>
      <c r="L531" s="264"/>
      <c r="M531" s="264"/>
      <c r="N531" s="264"/>
      <c r="O531" s="255"/>
      <c r="P531" s="268" t="s">
        <v>11</v>
      </c>
      <c r="Q531" s="269"/>
      <c r="R531" s="278" t="s">
        <v>121</v>
      </c>
      <c r="S531" s="279"/>
    </row>
    <row r="532" spans="1:19" ht="12.75" customHeight="1" x14ac:dyDescent="0.35">
      <c r="A532" s="5" t="s">
        <v>75</v>
      </c>
      <c r="C532"/>
      <c r="D532" s="256"/>
      <c r="E532" s="257"/>
      <c r="F532" s="261"/>
      <c r="G532" s="257"/>
      <c r="H532" s="261"/>
      <c r="I532" s="265"/>
      <c r="J532" s="265"/>
      <c r="K532" s="265"/>
      <c r="L532" s="265"/>
      <c r="M532" s="265"/>
      <c r="N532" s="265"/>
      <c r="O532" s="257"/>
      <c r="P532" s="270"/>
      <c r="Q532" s="271"/>
      <c r="R532" s="270"/>
      <c r="S532" s="280"/>
    </row>
    <row r="533" spans="1:19" ht="12.75" customHeight="1" x14ac:dyDescent="0.35">
      <c r="A533" s="5" t="s">
        <v>75</v>
      </c>
      <c r="C533"/>
      <c r="D533" s="256"/>
      <c r="E533" s="257"/>
      <c r="F533" s="261"/>
      <c r="G533" s="257"/>
      <c r="H533" s="261"/>
      <c r="I533" s="265"/>
      <c r="J533" s="265"/>
      <c r="K533" s="265"/>
      <c r="L533" s="265"/>
      <c r="M533" s="265"/>
      <c r="N533" s="265"/>
      <c r="O533" s="257"/>
      <c r="P533" s="270"/>
      <c r="Q533" s="271"/>
      <c r="R533" s="270"/>
      <c r="S533" s="280"/>
    </row>
    <row r="534" spans="1:19" ht="12.75" customHeight="1" thickBot="1" x14ac:dyDescent="0.4">
      <c r="A534" s="5" t="s">
        <v>75</v>
      </c>
      <c r="C534"/>
      <c r="D534" s="258"/>
      <c r="E534" s="259"/>
      <c r="F534" s="262"/>
      <c r="G534" s="263"/>
      <c r="H534" s="266"/>
      <c r="I534" s="267"/>
      <c r="J534" s="267"/>
      <c r="K534" s="267"/>
      <c r="L534" s="267"/>
      <c r="M534" s="267"/>
      <c r="N534" s="267"/>
      <c r="O534" s="259"/>
      <c r="P534" s="272"/>
      <c r="Q534" s="273"/>
      <c r="R534" s="272"/>
      <c r="S534" s="286"/>
    </row>
    <row r="535" spans="1:19" ht="12.75" customHeight="1" x14ac:dyDescent="0.35">
      <c r="A535" s="5" t="s">
        <v>75</v>
      </c>
      <c r="C535"/>
      <c r="D535" s="254" t="s">
        <v>118</v>
      </c>
      <c r="E535" s="255"/>
      <c r="F535" s="260" t="s">
        <v>119</v>
      </c>
      <c r="G535" s="255"/>
      <c r="H535" s="260" t="s">
        <v>120</v>
      </c>
      <c r="I535" s="264"/>
      <c r="J535" s="264"/>
      <c r="K535" s="264"/>
      <c r="L535" s="264"/>
      <c r="M535" s="264"/>
      <c r="N535" s="264"/>
      <c r="O535" s="255"/>
      <c r="P535" s="268" t="s">
        <v>11</v>
      </c>
      <c r="Q535" s="269"/>
      <c r="R535" s="278" t="s">
        <v>121</v>
      </c>
      <c r="S535" s="279"/>
    </row>
    <row r="536" spans="1:19" ht="12.75" customHeight="1" x14ac:dyDescent="0.35">
      <c r="A536" s="5" t="s">
        <v>75</v>
      </c>
      <c r="C536"/>
      <c r="D536" s="256"/>
      <c r="E536" s="257"/>
      <c r="F536" s="261"/>
      <c r="G536" s="257"/>
      <c r="H536" s="261"/>
      <c r="I536" s="265"/>
      <c r="J536" s="265"/>
      <c r="K536" s="265"/>
      <c r="L536" s="265"/>
      <c r="M536" s="265"/>
      <c r="N536" s="265"/>
      <c r="O536" s="257"/>
      <c r="P536" s="270"/>
      <c r="Q536" s="271"/>
      <c r="R536" s="270"/>
      <c r="S536" s="280"/>
    </row>
    <row r="537" spans="1:19" ht="12.75" customHeight="1" x14ac:dyDescent="0.35">
      <c r="A537" s="5" t="s">
        <v>75</v>
      </c>
      <c r="C537"/>
      <c r="D537" s="256"/>
      <c r="E537" s="257"/>
      <c r="F537" s="261"/>
      <c r="G537" s="257"/>
      <c r="H537" s="261"/>
      <c r="I537" s="265"/>
      <c r="J537" s="265"/>
      <c r="K537" s="265"/>
      <c r="L537" s="265"/>
      <c r="M537" s="265"/>
      <c r="N537" s="265"/>
      <c r="O537" s="257"/>
      <c r="P537" s="270"/>
      <c r="Q537" s="271"/>
      <c r="R537" s="270"/>
      <c r="S537" s="280"/>
    </row>
    <row r="538" spans="1:19" ht="12.75" customHeight="1" thickBot="1" x14ac:dyDescent="0.4">
      <c r="A538" s="5" t="s">
        <v>75</v>
      </c>
      <c r="C538"/>
      <c r="D538" s="274"/>
      <c r="E538" s="263"/>
      <c r="F538" s="262"/>
      <c r="G538" s="263"/>
      <c r="H538" s="262"/>
      <c r="I538" s="275"/>
      <c r="J538" s="275"/>
      <c r="K538" s="275"/>
      <c r="L538" s="275"/>
      <c r="M538" s="275"/>
      <c r="N538" s="275"/>
      <c r="O538" s="263"/>
      <c r="P538" s="276"/>
      <c r="Q538" s="277"/>
      <c r="R538" s="276"/>
      <c r="S538" s="281"/>
    </row>
    <row r="553" spans="1:22" ht="23" thickBot="1" x14ac:dyDescent="0.5">
      <c r="C553"/>
      <c r="D553" s="11">
        <f>D503+1</f>
        <v>11</v>
      </c>
      <c r="E553" s="11"/>
      <c r="F553" s="14"/>
      <c r="G553" s="14"/>
      <c r="H553" s="14"/>
      <c r="I553" s="14"/>
      <c r="J553" s="14"/>
      <c r="K553" s="14"/>
      <c r="L553" s="14"/>
      <c r="M553" s="14"/>
      <c r="N553" s="14"/>
      <c r="O553" s="14"/>
      <c r="P553" s="14"/>
      <c r="Q553" s="14"/>
      <c r="R553" s="14"/>
      <c r="S553" s="14"/>
    </row>
    <row r="554" spans="1:22" ht="30" customHeight="1" thickBot="1" x14ac:dyDescent="0.4">
      <c r="A554" s="17" t="s">
        <v>57</v>
      </c>
      <c r="C554"/>
      <c r="D554" s="295" t="e">
        <f ca="1">"Hoshin Implementation Plan "&amp;#REF!&amp;"   -   Must Win Battle / Strategy:   "&amp;$L$2</f>
        <v>#REF!</v>
      </c>
      <c r="E554" s="296"/>
      <c r="F554" s="296"/>
      <c r="G554" s="297"/>
      <c r="H554" s="298" t="e">
        <f ca="1">"Work Stream:   "&amp;OFFSET($E$7,2*(D553+1)-1,0)&amp;" - "&amp;OFFSET($F$7,2*(D553+1)-1,0)</f>
        <v>#NAME?</v>
      </c>
      <c r="I554" s="296"/>
      <c r="J554" s="296"/>
      <c r="K554" s="296"/>
      <c r="L554" s="296"/>
      <c r="M554" s="296"/>
      <c r="N554" s="296"/>
      <c r="O554" s="296"/>
      <c r="P554" s="296"/>
      <c r="Q554" s="296"/>
      <c r="R554" s="296"/>
      <c r="S554" s="299"/>
    </row>
    <row r="555" spans="1:22" ht="26" x14ac:dyDescent="0.35">
      <c r="A555" s="17" t="s">
        <v>57</v>
      </c>
      <c r="C555"/>
      <c r="D555" s="240" t="s">
        <v>1</v>
      </c>
      <c r="E555" s="241"/>
      <c r="F555" s="241"/>
      <c r="G555" s="291"/>
      <c r="H555" s="292" t="s">
        <v>2</v>
      </c>
      <c r="I555" s="241"/>
      <c r="J555" s="291"/>
      <c r="K555" s="292" t="s">
        <v>3</v>
      </c>
      <c r="L555" s="241"/>
      <c r="M555" s="241"/>
      <c r="N555" s="241" t="s">
        <v>58</v>
      </c>
      <c r="O555" s="241"/>
      <c r="P555" s="291"/>
      <c r="Q555" s="293" t="s">
        <v>13</v>
      </c>
      <c r="R555" s="293"/>
      <c r="S555" s="294"/>
    </row>
    <row r="556" spans="1:22" ht="26.25" customHeight="1" x14ac:dyDescent="0.35">
      <c r="A556" s="17" t="s">
        <v>57</v>
      </c>
      <c r="C556"/>
      <c r="D556" s="229" t="e">
        <f>$D$4</f>
        <v>#REF!</v>
      </c>
      <c r="E556" s="230"/>
      <c r="F556" s="230"/>
      <c r="G556" s="230"/>
      <c r="H556" s="231" t="e">
        <f>$F$4</f>
        <v>#REF!</v>
      </c>
      <c r="I556" s="230"/>
      <c r="J556" s="232"/>
      <c r="K556" s="233" t="str">
        <f ca="1">OFFSET($G$7,2*(D553+1)-1,0)</f>
        <v>K</v>
      </c>
      <c r="L556" s="234"/>
      <c r="M556" s="235"/>
      <c r="N556" s="236" t="s">
        <v>6</v>
      </c>
      <c r="O556" s="237"/>
      <c r="P556" s="238"/>
      <c r="Q556" s="236" t="s">
        <v>6</v>
      </c>
      <c r="R556" s="237"/>
      <c r="S556" s="239"/>
    </row>
    <row r="557" spans="1:22" ht="26.5" thickBot="1" x14ac:dyDescent="0.4">
      <c r="A557" s="17" t="s">
        <v>57</v>
      </c>
      <c r="C557"/>
      <c r="D557" s="240" t="s">
        <v>7</v>
      </c>
      <c r="E557" s="241"/>
      <c r="F557" s="241"/>
      <c r="G557" s="241"/>
      <c r="H557" s="241"/>
      <c r="I557" s="241"/>
      <c r="J557" s="241"/>
      <c r="K557" s="241"/>
      <c r="L557" s="241"/>
      <c r="M557" s="241"/>
      <c r="N557" s="241"/>
      <c r="O557" s="241"/>
      <c r="P557" s="241"/>
      <c r="Q557" s="241"/>
      <c r="R557" s="241"/>
      <c r="S557" s="242"/>
    </row>
    <row r="558" spans="1:22" ht="26" x14ac:dyDescent="0.35">
      <c r="A558" s="17" t="s">
        <v>57</v>
      </c>
      <c r="C558"/>
      <c r="D558" s="224" t="s">
        <v>59</v>
      </c>
      <c r="E558" s="225"/>
      <c r="F558" s="225"/>
      <c r="G558" s="225"/>
      <c r="H558" s="225"/>
      <c r="I558" s="225"/>
      <c r="J558" s="225"/>
      <c r="K558" s="225"/>
      <c r="L558" s="225"/>
      <c r="M558" s="225"/>
      <c r="N558" s="225"/>
      <c r="O558" s="225"/>
      <c r="P558" s="225"/>
      <c r="Q558" s="225"/>
      <c r="R558" s="225"/>
      <c r="S558" s="226"/>
      <c r="U558" s="391" t="s">
        <v>16</v>
      </c>
      <c r="V558" s="392"/>
    </row>
    <row r="559" spans="1:22" ht="27" customHeight="1" thickBot="1" x14ac:dyDescent="0.4">
      <c r="A559" s="17" t="s">
        <v>57</v>
      </c>
      <c r="C559"/>
      <c r="D559" s="92" t="s">
        <v>60</v>
      </c>
      <c r="E559" s="227" t="s">
        <v>61</v>
      </c>
      <c r="F559" s="228"/>
      <c r="G559" s="93" t="s">
        <v>11</v>
      </c>
      <c r="H559" s="94" t="s">
        <v>62</v>
      </c>
      <c r="I559" s="94" t="s">
        <v>63</v>
      </c>
      <c r="J559" s="94" t="s">
        <v>64</v>
      </c>
      <c r="K559" s="94" t="s">
        <v>65</v>
      </c>
      <c r="L559" s="94" t="s">
        <v>66</v>
      </c>
      <c r="M559" s="94" t="s">
        <v>67</v>
      </c>
      <c r="N559" s="94" t="s">
        <v>68</v>
      </c>
      <c r="O559" s="94" t="s">
        <v>69</v>
      </c>
      <c r="P559" s="94" t="s">
        <v>70</v>
      </c>
      <c r="Q559" s="94" t="s">
        <v>71</v>
      </c>
      <c r="R559" s="94" t="s">
        <v>72</v>
      </c>
      <c r="S559" s="95" t="s">
        <v>73</v>
      </c>
      <c r="U559" s="287" t="s">
        <v>74</v>
      </c>
      <c r="V559" s="288"/>
    </row>
    <row r="560" spans="1:22" ht="15.75" customHeight="1" thickBot="1" x14ac:dyDescent="0.4">
      <c r="A560" s="8" t="s">
        <v>75</v>
      </c>
      <c r="C560"/>
      <c r="D560" s="250" t="s">
        <v>76</v>
      </c>
      <c r="E560" s="96" t="s">
        <v>77</v>
      </c>
      <c r="F560" s="97" t="s">
        <v>78</v>
      </c>
      <c r="G560" s="65"/>
      <c r="H560" s="66"/>
      <c r="I560" s="67"/>
      <c r="J560" s="67"/>
      <c r="K560" s="67"/>
      <c r="L560" s="67"/>
      <c r="M560" s="68"/>
      <c r="N560" s="68"/>
      <c r="O560" s="68"/>
      <c r="P560" s="68"/>
      <c r="Q560" s="68"/>
      <c r="R560" s="68"/>
      <c r="S560" s="69"/>
      <c r="U560" s="289"/>
      <c r="V560" s="290"/>
    </row>
    <row r="561" spans="1:22" ht="15" thickBot="1" x14ac:dyDescent="0.4">
      <c r="A561" s="8" t="s">
        <v>75</v>
      </c>
      <c r="C561"/>
      <c r="D561" s="251"/>
      <c r="E561" s="70" t="s">
        <v>79</v>
      </c>
      <c r="F561" s="71" t="s">
        <v>80</v>
      </c>
      <c r="G561" s="72"/>
      <c r="H561" s="73"/>
      <c r="I561" s="74"/>
      <c r="J561" s="74"/>
      <c r="K561" s="74"/>
      <c r="L561" s="74"/>
      <c r="M561" s="75"/>
      <c r="N561" s="75"/>
      <c r="O561" s="75"/>
      <c r="P561" s="75"/>
      <c r="Q561" s="75"/>
      <c r="R561" s="75"/>
      <c r="S561" s="76"/>
      <c r="U561" s="199">
        <v>0</v>
      </c>
      <c r="V561" s="200" t="s">
        <v>21</v>
      </c>
    </row>
    <row r="562" spans="1:22" ht="15" thickBot="1" x14ac:dyDescent="0.4">
      <c r="A562" s="8" t="s">
        <v>75</v>
      </c>
      <c r="C562"/>
      <c r="D562" s="251"/>
      <c r="E562" s="77" t="s">
        <v>81</v>
      </c>
      <c r="F562" s="78" t="s">
        <v>82</v>
      </c>
      <c r="G562" s="79"/>
      <c r="H562" s="80"/>
      <c r="I562" s="81"/>
      <c r="J562" s="81"/>
      <c r="K562" s="81"/>
      <c r="L562" s="81"/>
      <c r="M562" s="82"/>
      <c r="N562" s="83"/>
      <c r="O562" s="83"/>
      <c r="P562" s="83"/>
      <c r="Q562" s="83"/>
      <c r="R562" s="83"/>
      <c r="S562" s="84"/>
      <c r="U562" s="33">
        <v>1</v>
      </c>
      <c r="V562" s="201" t="s">
        <v>22</v>
      </c>
    </row>
    <row r="563" spans="1:22" ht="15" thickBot="1" x14ac:dyDescent="0.4">
      <c r="A563" s="8" t="s">
        <v>75</v>
      </c>
      <c r="C563"/>
      <c r="D563" s="251"/>
      <c r="E563" s="77" t="s">
        <v>83</v>
      </c>
      <c r="F563" s="78" t="s">
        <v>84</v>
      </c>
      <c r="G563" s="79"/>
      <c r="H563" s="80"/>
      <c r="I563" s="81"/>
      <c r="J563" s="81"/>
      <c r="K563" s="81"/>
      <c r="L563" s="81"/>
      <c r="M563" s="83"/>
      <c r="N563" s="83"/>
      <c r="O563" s="83"/>
      <c r="P563" s="83"/>
      <c r="Q563" s="83"/>
      <c r="R563" s="83"/>
      <c r="S563" s="84"/>
      <c r="U563" s="41">
        <v>2</v>
      </c>
      <c r="V563" s="202" t="s">
        <v>25</v>
      </c>
    </row>
    <row r="564" spans="1:22" ht="15" thickBot="1" x14ac:dyDescent="0.4">
      <c r="A564" s="5" t="s">
        <v>75</v>
      </c>
      <c r="C564"/>
      <c r="D564" s="251"/>
      <c r="E564" s="77" t="s">
        <v>85</v>
      </c>
      <c r="F564" s="78" t="s">
        <v>86</v>
      </c>
      <c r="G564" s="79"/>
      <c r="H564" s="80"/>
      <c r="I564" s="81"/>
      <c r="J564" s="81"/>
      <c r="K564" s="81"/>
      <c r="L564" s="81"/>
      <c r="M564" s="83"/>
      <c r="N564" s="83"/>
      <c r="O564" s="83"/>
      <c r="P564" s="83"/>
      <c r="Q564" s="83"/>
      <c r="R564" s="83"/>
      <c r="S564" s="84"/>
      <c r="U564" s="38">
        <v>3</v>
      </c>
      <c r="V564" s="203" t="s">
        <v>26</v>
      </c>
    </row>
    <row r="565" spans="1:22" ht="15" thickBot="1" x14ac:dyDescent="0.4">
      <c r="A565" s="5" t="s">
        <v>75</v>
      </c>
      <c r="C565"/>
      <c r="D565" s="252"/>
      <c r="E565" s="77" t="s">
        <v>87</v>
      </c>
      <c r="F565" s="78" t="s">
        <v>88</v>
      </c>
      <c r="G565" s="79"/>
      <c r="H565" s="80"/>
      <c r="I565" s="81"/>
      <c r="J565" s="81"/>
      <c r="K565" s="81"/>
      <c r="L565" s="81"/>
      <c r="M565" s="83"/>
      <c r="N565" s="83"/>
      <c r="O565" s="83"/>
      <c r="P565" s="83"/>
      <c r="Q565" s="83"/>
      <c r="R565" s="83"/>
      <c r="S565" s="84"/>
      <c r="U565" s="35">
        <v>4</v>
      </c>
      <c r="V565" s="204" t="s">
        <v>29</v>
      </c>
    </row>
    <row r="566" spans="1:22" ht="15" thickBot="1" x14ac:dyDescent="0.4">
      <c r="A566" s="5" t="s">
        <v>75</v>
      </c>
      <c r="C566"/>
      <c r="D566" s="253" t="s">
        <v>37</v>
      </c>
      <c r="E566" s="77" t="s">
        <v>89</v>
      </c>
      <c r="F566" s="78" t="s">
        <v>90</v>
      </c>
      <c r="G566" s="79"/>
      <c r="H566" s="80"/>
      <c r="I566" s="81"/>
      <c r="J566" s="81"/>
      <c r="K566" s="81"/>
      <c r="L566" s="81"/>
      <c r="M566" s="83"/>
      <c r="N566" s="83"/>
      <c r="O566" s="83"/>
      <c r="P566" s="83"/>
      <c r="Q566" s="83"/>
      <c r="R566" s="83"/>
      <c r="S566" s="84"/>
      <c r="U566" s="46">
        <v>5</v>
      </c>
      <c r="V566" s="60" t="s">
        <v>30</v>
      </c>
    </row>
    <row r="567" spans="1:22" ht="15" thickBot="1" x14ac:dyDescent="0.4">
      <c r="A567" s="5" t="s">
        <v>75</v>
      </c>
      <c r="C567"/>
      <c r="D567" s="253"/>
      <c r="E567" s="77" t="s">
        <v>91</v>
      </c>
      <c r="F567" s="78" t="s">
        <v>92</v>
      </c>
      <c r="G567" s="79"/>
      <c r="H567" s="80"/>
      <c r="I567" s="81"/>
      <c r="J567" s="81"/>
      <c r="K567" s="81"/>
      <c r="L567" s="81"/>
      <c r="M567" s="83"/>
      <c r="N567" s="83"/>
      <c r="O567" s="83"/>
      <c r="P567" s="83"/>
      <c r="Q567" s="83"/>
      <c r="R567" s="83"/>
      <c r="S567" s="84"/>
    </row>
    <row r="568" spans="1:22" ht="15.75" customHeight="1" thickBot="1" x14ac:dyDescent="0.4">
      <c r="A568" s="5" t="s">
        <v>75</v>
      </c>
      <c r="C568"/>
      <c r="D568" s="243" t="s">
        <v>93</v>
      </c>
      <c r="E568" s="77" t="s">
        <v>94</v>
      </c>
      <c r="F568" s="78" t="s">
        <v>95</v>
      </c>
      <c r="G568" s="79"/>
      <c r="H568" s="80"/>
      <c r="I568" s="81"/>
      <c r="J568" s="81"/>
      <c r="K568" s="81"/>
      <c r="L568" s="81"/>
      <c r="M568" s="83"/>
      <c r="N568" s="83"/>
      <c r="O568" s="83"/>
      <c r="P568" s="83"/>
      <c r="Q568" s="83"/>
      <c r="R568" s="83"/>
      <c r="S568" s="84"/>
    </row>
    <row r="569" spans="1:22" ht="15" thickBot="1" x14ac:dyDescent="0.4">
      <c r="A569" s="5" t="s">
        <v>75</v>
      </c>
      <c r="C569"/>
      <c r="D569" s="244"/>
      <c r="E569" s="77" t="s">
        <v>96</v>
      </c>
      <c r="F569" s="78" t="s">
        <v>97</v>
      </c>
      <c r="G569" s="79"/>
      <c r="H569" s="80"/>
      <c r="I569" s="81"/>
      <c r="J569" s="81"/>
      <c r="K569" s="81"/>
      <c r="L569" s="81"/>
      <c r="M569" s="83"/>
      <c r="N569" s="83"/>
      <c r="O569" s="83"/>
      <c r="P569" s="83"/>
      <c r="Q569" s="83"/>
      <c r="R569" s="83"/>
      <c r="S569" s="84"/>
    </row>
    <row r="570" spans="1:22" ht="15" thickBot="1" x14ac:dyDescent="0.4">
      <c r="A570" s="5" t="s">
        <v>75</v>
      </c>
      <c r="C570"/>
      <c r="D570" s="245" t="s">
        <v>98</v>
      </c>
      <c r="E570" s="77" t="s">
        <v>99</v>
      </c>
      <c r="F570" s="78" t="s">
        <v>100</v>
      </c>
      <c r="G570" s="79"/>
      <c r="H570" s="80"/>
      <c r="I570" s="81"/>
      <c r="J570" s="81"/>
      <c r="K570" s="81"/>
      <c r="L570" s="81"/>
      <c r="M570" s="83"/>
      <c r="N570" s="83"/>
      <c r="O570" s="83"/>
      <c r="P570" s="83"/>
      <c r="Q570" s="83"/>
      <c r="R570" s="83"/>
      <c r="S570" s="84"/>
    </row>
    <row r="571" spans="1:22" ht="15" thickBot="1" x14ac:dyDescent="0.4">
      <c r="A571" s="5" t="s">
        <v>75</v>
      </c>
      <c r="C571"/>
      <c r="D571" s="246"/>
      <c r="E571" s="77" t="s">
        <v>101</v>
      </c>
      <c r="F571" s="78" t="s">
        <v>102</v>
      </c>
      <c r="G571" s="79"/>
      <c r="H571" s="80"/>
      <c r="I571" s="81"/>
      <c r="J571" s="81"/>
      <c r="K571" s="81"/>
      <c r="L571" s="81"/>
      <c r="M571" s="83"/>
      <c r="N571" s="83"/>
      <c r="O571" s="83"/>
      <c r="P571" s="83"/>
      <c r="Q571" s="83"/>
      <c r="R571" s="83"/>
      <c r="S571" s="84"/>
    </row>
    <row r="572" spans="1:22" ht="15" thickBot="1" x14ac:dyDescent="0.4">
      <c r="A572" s="5" t="s">
        <v>75</v>
      </c>
      <c r="C572"/>
      <c r="D572" s="245" t="s">
        <v>103</v>
      </c>
      <c r="E572" s="77" t="s">
        <v>104</v>
      </c>
      <c r="F572" s="78" t="s">
        <v>105</v>
      </c>
      <c r="G572" s="79"/>
      <c r="H572" s="80"/>
      <c r="I572" s="81"/>
      <c r="J572" s="81"/>
      <c r="K572" s="81"/>
      <c r="L572" s="81"/>
      <c r="M572" s="83"/>
      <c r="N572" s="83"/>
      <c r="O572" s="83"/>
      <c r="P572" s="83"/>
      <c r="Q572" s="83"/>
      <c r="R572" s="83"/>
      <c r="S572" s="84"/>
    </row>
    <row r="573" spans="1:22" ht="15" thickBot="1" x14ac:dyDescent="0.4">
      <c r="A573" s="5" t="s">
        <v>75</v>
      </c>
      <c r="C573"/>
      <c r="D573" s="246"/>
      <c r="E573" s="77" t="s">
        <v>106</v>
      </c>
      <c r="F573" s="78" t="s">
        <v>107</v>
      </c>
      <c r="G573" s="79"/>
      <c r="H573" s="80"/>
      <c r="I573" s="81"/>
      <c r="J573" s="81"/>
      <c r="K573" s="81"/>
      <c r="L573" s="81"/>
      <c r="M573" s="83"/>
      <c r="N573" s="83"/>
      <c r="O573" s="83"/>
      <c r="P573" s="83"/>
      <c r="Q573" s="83"/>
      <c r="R573" s="83"/>
      <c r="S573" s="84"/>
    </row>
    <row r="574" spans="1:22" ht="15" thickBot="1" x14ac:dyDescent="0.4">
      <c r="A574" s="5" t="s">
        <v>75</v>
      </c>
      <c r="C574"/>
      <c r="D574" s="245" t="s">
        <v>108</v>
      </c>
      <c r="E574" s="77" t="s">
        <v>109</v>
      </c>
      <c r="F574" s="78" t="s">
        <v>110</v>
      </c>
      <c r="G574" s="79"/>
      <c r="H574" s="80"/>
      <c r="I574" s="81"/>
      <c r="J574" s="81"/>
      <c r="K574" s="81"/>
      <c r="L574" s="81"/>
      <c r="M574" s="83"/>
      <c r="N574" s="83"/>
      <c r="O574" s="83"/>
      <c r="P574" s="83"/>
      <c r="Q574" s="83"/>
      <c r="R574" s="83"/>
      <c r="S574" s="84"/>
    </row>
    <row r="575" spans="1:22" ht="15" thickBot="1" x14ac:dyDescent="0.4">
      <c r="A575" s="5" t="s">
        <v>75</v>
      </c>
      <c r="C575"/>
      <c r="D575" s="244"/>
      <c r="E575" s="85" t="s">
        <v>111</v>
      </c>
      <c r="F575" s="86" t="s">
        <v>112</v>
      </c>
      <c r="G575" s="87"/>
      <c r="H575" s="88"/>
      <c r="I575" s="89"/>
      <c r="J575" s="89"/>
      <c r="K575" s="89"/>
      <c r="L575" s="89"/>
      <c r="M575" s="90"/>
      <c r="N575" s="90"/>
      <c r="O575" s="90"/>
      <c r="P575" s="90"/>
      <c r="Q575" s="90"/>
      <c r="R575" s="90"/>
      <c r="S575" s="91"/>
    </row>
    <row r="576" spans="1:22" ht="23.25" customHeight="1" thickBot="1" x14ac:dyDescent="0.4">
      <c r="A576" s="5" t="s">
        <v>75</v>
      </c>
      <c r="C576"/>
      <c r="D576" s="98" t="s">
        <v>113</v>
      </c>
      <c r="E576" s="98"/>
      <c r="F576" s="98" t="s">
        <v>114</v>
      </c>
      <c r="G576" s="99"/>
      <c r="H576" s="247" t="s">
        <v>115</v>
      </c>
      <c r="I576" s="248"/>
      <c r="J576" s="248"/>
      <c r="K576" s="248"/>
      <c r="L576" s="248"/>
      <c r="M576" s="248"/>
      <c r="N576" s="248"/>
      <c r="O576" s="249"/>
      <c r="P576" s="247" t="s">
        <v>116</v>
      </c>
      <c r="Q576" s="248"/>
      <c r="R576" s="248" t="s">
        <v>117</v>
      </c>
      <c r="S576" s="249"/>
    </row>
    <row r="577" spans="1:19" ht="12.75" customHeight="1" x14ac:dyDescent="0.35">
      <c r="A577" s="5" t="s">
        <v>75</v>
      </c>
      <c r="C577"/>
      <c r="D577" s="254" t="s">
        <v>118</v>
      </c>
      <c r="E577" s="255"/>
      <c r="F577" s="260" t="s">
        <v>119</v>
      </c>
      <c r="G577" s="255"/>
      <c r="H577" s="260" t="s">
        <v>120</v>
      </c>
      <c r="I577" s="264"/>
      <c r="J577" s="264"/>
      <c r="K577" s="264"/>
      <c r="L577" s="264"/>
      <c r="M577" s="264"/>
      <c r="N577" s="264"/>
      <c r="O577" s="255"/>
      <c r="P577" s="268" t="s">
        <v>11</v>
      </c>
      <c r="Q577" s="282"/>
      <c r="R577" s="268" t="s">
        <v>121</v>
      </c>
      <c r="S577" s="285"/>
    </row>
    <row r="578" spans="1:19" ht="12.75" customHeight="1" x14ac:dyDescent="0.35">
      <c r="A578" s="5" t="s">
        <v>75</v>
      </c>
      <c r="C578"/>
      <c r="D578" s="256"/>
      <c r="E578" s="257"/>
      <c r="F578" s="261"/>
      <c r="G578" s="257"/>
      <c r="H578" s="261"/>
      <c r="I578" s="265"/>
      <c r="J578" s="265"/>
      <c r="K578" s="265"/>
      <c r="L578" s="265"/>
      <c r="M578" s="265"/>
      <c r="N578" s="265"/>
      <c r="O578" s="257"/>
      <c r="P578" s="270"/>
      <c r="Q578" s="283"/>
      <c r="R578" s="270"/>
      <c r="S578" s="280"/>
    </row>
    <row r="579" spans="1:19" ht="12.75" customHeight="1" x14ac:dyDescent="0.35">
      <c r="A579" s="5" t="s">
        <v>75</v>
      </c>
      <c r="C579"/>
      <c r="D579" s="256"/>
      <c r="E579" s="257"/>
      <c r="F579" s="261"/>
      <c r="G579" s="257"/>
      <c r="H579" s="261"/>
      <c r="I579" s="265"/>
      <c r="J579" s="265"/>
      <c r="K579" s="265"/>
      <c r="L579" s="265"/>
      <c r="M579" s="265"/>
      <c r="N579" s="265"/>
      <c r="O579" s="257"/>
      <c r="P579" s="270"/>
      <c r="Q579" s="283"/>
      <c r="R579" s="270"/>
      <c r="S579" s="280"/>
    </row>
    <row r="580" spans="1:19" ht="12.75" customHeight="1" thickBot="1" x14ac:dyDescent="0.4">
      <c r="A580" s="5" t="s">
        <v>75</v>
      </c>
      <c r="C580"/>
      <c r="D580" s="258"/>
      <c r="E580" s="259"/>
      <c r="F580" s="262"/>
      <c r="G580" s="263"/>
      <c r="H580" s="266"/>
      <c r="I580" s="267"/>
      <c r="J580" s="267"/>
      <c r="K580" s="267"/>
      <c r="L580" s="267"/>
      <c r="M580" s="267"/>
      <c r="N580" s="267"/>
      <c r="O580" s="259"/>
      <c r="P580" s="272"/>
      <c r="Q580" s="284"/>
      <c r="R580" s="272"/>
      <c r="S580" s="286"/>
    </row>
    <row r="581" spans="1:19" ht="12.75" customHeight="1" x14ac:dyDescent="0.35">
      <c r="A581" s="5" t="s">
        <v>75</v>
      </c>
      <c r="C581"/>
      <c r="D581" s="254" t="s">
        <v>118</v>
      </c>
      <c r="E581" s="255"/>
      <c r="F581" s="260" t="s">
        <v>119</v>
      </c>
      <c r="G581" s="255"/>
      <c r="H581" s="260" t="s">
        <v>120</v>
      </c>
      <c r="I581" s="264"/>
      <c r="J581" s="264"/>
      <c r="K581" s="264"/>
      <c r="L581" s="264"/>
      <c r="M581" s="264"/>
      <c r="N581" s="264"/>
      <c r="O581" s="255"/>
      <c r="P581" s="268" t="s">
        <v>11</v>
      </c>
      <c r="Q581" s="269"/>
      <c r="R581" s="278" t="s">
        <v>121</v>
      </c>
      <c r="S581" s="279"/>
    </row>
    <row r="582" spans="1:19" ht="12.75" customHeight="1" x14ac:dyDescent="0.35">
      <c r="A582" s="5" t="s">
        <v>75</v>
      </c>
      <c r="C582"/>
      <c r="D582" s="256"/>
      <c r="E582" s="257"/>
      <c r="F582" s="261"/>
      <c r="G582" s="257"/>
      <c r="H582" s="261"/>
      <c r="I582" s="265"/>
      <c r="J582" s="265"/>
      <c r="K582" s="265"/>
      <c r="L582" s="265"/>
      <c r="M582" s="265"/>
      <c r="N582" s="265"/>
      <c r="O582" s="257"/>
      <c r="P582" s="270"/>
      <c r="Q582" s="271"/>
      <c r="R582" s="270"/>
      <c r="S582" s="280"/>
    </row>
    <row r="583" spans="1:19" ht="12.75" customHeight="1" x14ac:dyDescent="0.35">
      <c r="A583" s="5" t="s">
        <v>75</v>
      </c>
      <c r="C583"/>
      <c r="D583" s="256"/>
      <c r="E583" s="257"/>
      <c r="F583" s="261"/>
      <c r="G583" s="257"/>
      <c r="H583" s="261"/>
      <c r="I583" s="265"/>
      <c r="J583" s="265"/>
      <c r="K583" s="265"/>
      <c r="L583" s="265"/>
      <c r="M583" s="265"/>
      <c r="N583" s="265"/>
      <c r="O583" s="257"/>
      <c r="P583" s="270"/>
      <c r="Q583" s="271"/>
      <c r="R583" s="270"/>
      <c r="S583" s="280"/>
    </row>
    <row r="584" spans="1:19" ht="12.75" customHeight="1" thickBot="1" x14ac:dyDescent="0.4">
      <c r="A584" s="5" t="s">
        <v>75</v>
      </c>
      <c r="C584"/>
      <c r="D584" s="258"/>
      <c r="E584" s="259"/>
      <c r="F584" s="262"/>
      <c r="G584" s="263"/>
      <c r="H584" s="266"/>
      <c r="I584" s="267"/>
      <c r="J584" s="267"/>
      <c r="K584" s="267"/>
      <c r="L584" s="267"/>
      <c r="M584" s="267"/>
      <c r="N584" s="267"/>
      <c r="O584" s="259"/>
      <c r="P584" s="272"/>
      <c r="Q584" s="273"/>
      <c r="R584" s="272"/>
      <c r="S584" s="286"/>
    </row>
    <row r="585" spans="1:19" ht="12.75" customHeight="1" x14ac:dyDescent="0.35">
      <c r="A585" s="5" t="s">
        <v>75</v>
      </c>
      <c r="C585"/>
      <c r="D585" s="254" t="s">
        <v>118</v>
      </c>
      <c r="E585" s="255"/>
      <c r="F585" s="260" t="s">
        <v>119</v>
      </c>
      <c r="G585" s="255"/>
      <c r="H585" s="260" t="s">
        <v>120</v>
      </c>
      <c r="I585" s="264"/>
      <c r="J585" s="264"/>
      <c r="K585" s="264"/>
      <c r="L585" s="264"/>
      <c r="M585" s="264"/>
      <c r="N585" s="264"/>
      <c r="O585" s="255"/>
      <c r="P585" s="268" t="s">
        <v>11</v>
      </c>
      <c r="Q585" s="269"/>
      <c r="R585" s="278" t="s">
        <v>121</v>
      </c>
      <c r="S585" s="279"/>
    </row>
    <row r="586" spans="1:19" ht="12.75" customHeight="1" x14ac:dyDescent="0.35">
      <c r="A586" s="5" t="s">
        <v>75</v>
      </c>
      <c r="C586"/>
      <c r="D586" s="256"/>
      <c r="E586" s="257"/>
      <c r="F586" s="261"/>
      <c r="G586" s="257"/>
      <c r="H586" s="261"/>
      <c r="I586" s="265"/>
      <c r="J586" s="265"/>
      <c r="K586" s="265"/>
      <c r="L586" s="265"/>
      <c r="M586" s="265"/>
      <c r="N586" s="265"/>
      <c r="O586" s="257"/>
      <c r="P586" s="270"/>
      <c r="Q586" s="271"/>
      <c r="R586" s="270"/>
      <c r="S586" s="280"/>
    </row>
    <row r="587" spans="1:19" ht="12.75" customHeight="1" x14ac:dyDescent="0.35">
      <c r="A587" s="5" t="s">
        <v>75</v>
      </c>
      <c r="C587"/>
      <c r="D587" s="256"/>
      <c r="E587" s="257"/>
      <c r="F587" s="261"/>
      <c r="G587" s="257"/>
      <c r="H587" s="261"/>
      <c r="I587" s="265"/>
      <c r="J587" s="265"/>
      <c r="K587" s="265"/>
      <c r="L587" s="265"/>
      <c r="M587" s="265"/>
      <c r="N587" s="265"/>
      <c r="O587" s="257"/>
      <c r="P587" s="270"/>
      <c r="Q587" s="271"/>
      <c r="R587" s="270"/>
      <c r="S587" s="280"/>
    </row>
    <row r="588" spans="1:19" ht="12.75" customHeight="1" thickBot="1" x14ac:dyDescent="0.4">
      <c r="A588" s="5" t="s">
        <v>75</v>
      </c>
      <c r="C588"/>
      <c r="D588" s="274"/>
      <c r="E588" s="263"/>
      <c r="F588" s="262"/>
      <c r="G588" s="263"/>
      <c r="H588" s="262"/>
      <c r="I588" s="275"/>
      <c r="J588" s="275"/>
      <c r="K588" s="275"/>
      <c r="L588" s="275"/>
      <c r="M588" s="275"/>
      <c r="N588" s="275"/>
      <c r="O588" s="263"/>
      <c r="P588" s="276"/>
      <c r="Q588" s="277"/>
      <c r="R588" s="276"/>
      <c r="S588" s="281"/>
    </row>
    <row r="603" spans="1:22" ht="23" thickBot="1" x14ac:dyDescent="0.5">
      <c r="C603"/>
      <c r="D603" s="11">
        <f>D553+1</f>
        <v>12</v>
      </c>
      <c r="E603" s="11"/>
      <c r="F603" s="14"/>
      <c r="G603" s="14"/>
      <c r="H603" s="14"/>
      <c r="I603" s="14"/>
      <c r="J603" s="14"/>
      <c r="K603" s="14"/>
      <c r="L603" s="14"/>
      <c r="M603" s="14"/>
      <c r="N603" s="14"/>
      <c r="O603" s="14"/>
      <c r="P603" s="14"/>
      <c r="Q603" s="14"/>
      <c r="R603" s="14"/>
      <c r="S603" s="14"/>
    </row>
    <row r="604" spans="1:22" ht="30" customHeight="1" thickBot="1" x14ac:dyDescent="0.4">
      <c r="A604" s="17" t="s">
        <v>57</v>
      </c>
      <c r="C604"/>
      <c r="D604" s="295" t="e">
        <f ca="1">"Hoshin Implementation Plan "&amp;#REF!&amp;"   -   Must Win Battle / Strategy:   "&amp;$L$2</f>
        <v>#REF!</v>
      </c>
      <c r="E604" s="296"/>
      <c r="F604" s="296"/>
      <c r="G604" s="297"/>
      <c r="H604" s="298" t="e">
        <f ca="1">"Work Stream:   "&amp;OFFSET($E$7,2*(D603+1)-1,0)&amp;" - "&amp;OFFSET($F$7,2*(D603+1)-1,0)</f>
        <v>#NAME?</v>
      </c>
      <c r="I604" s="296"/>
      <c r="J604" s="296"/>
      <c r="K604" s="296"/>
      <c r="L604" s="296"/>
      <c r="M604" s="296"/>
      <c r="N604" s="296"/>
      <c r="O604" s="296"/>
      <c r="P604" s="296"/>
      <c r="Q604" s="296"/>
      <c r="R604" s="296"/>
      <c r="S604" s="299"/>
    </row>
    <row r="605" spans="1:22" ht="26" x14ac:dyDescent="0.35">
      <c r="A605" s="17" t="s">
        <v>57</v>
      </c>
      <c r="C605"/>
      <c r="D605" s="240" t="s">
        <v>1</v>
      </c>
      <c r="E605" s="241"/>
      <c r="F605" s="241"/>
      <c r="G605" s="291"/>
      <c r="H605" s="292" t="s">
        <v>2</v>
      </c>
      <c r="I605" s="241"/>
      <c r="J605" s="291"/>
      <c r="K605" s="292" t="s">
        <v>3</v>
      </c>
      <c r="L605" s="241"/>
      <c r="M605" s="241"/>
      <c r="N605" s="241" t="s">
        <v>58</v>
      </c>
      <c r="O605" s="241"/>
      <c r="P605" s="291"/>
      <c r="Q605" s="293" t="s">
        <v>13</v>
      </c>
      <c r="R605" s="293"/>
      <c r="S605" s="294"/>
    </row>
    <row r="606" spans="1:22" ht="26.25" customHeight="1" x14ac:dyDescent="0.35">
      <c r="A606" s="17" t="s">
        <v>57</v>
      </c>
      <c r="C606"/>
      <c r="D606" s="229" t="e">
        <f>$D$4</f>
        <v>#REF!</v>
      </c>
      <c r="E606" s="230"/>
      <c r="F606" s="230"/>
      <c r="G606" s="230"/>
      <c r="H606" s="231" t="e">
        <f>$F$4</f>
        <v>#REF!</v>
      </c>
      <c r="I606" s="230"/>
      <c r="J606" s="232"/>
      <c r="K606" s="233" t="str">
        <f ca="1">OFFSET($G$7,2*(D603+1)-1,0)</f>
        <v>L</v>
      </c>
      <c r="L606" s="234"/>
      <c r="M606" s="235"/>
      <c r="N606" s="236" t="s">
        <v>6</v>
      </c>
      <c r="O606" s="237"/>
      <c r="P606" s="238"/>
      <c r="Q606" s="236" t="s">
        <v>6</v>
      </c>
      <c r="R606" s="237"/>
      <c r="S606" s="239"/>
    </row>
    <row r="607" spans="1:22" ht="26.5" thickBot="1" x14ac:dyDescent="0.4">
      <c r="A607" s="17" t="s">
        <v>57</v>
      </c>
      <c r="C607"/>
      <c r="D607" s="240" t="s">
        <v>7</v>
      </c>
      <c r="E607" s="241"/>
      <c r="F607" s="241"/>
      <c r="G607" s="241"/>
      <c r="H607" s="241"/>
      <c r="I607" s="241"/>
      <c r="J607" s="241"/>
      <c r="K607" s="241"/>
      <c r="L607" s="241"/>
      <c r="M607" s="241"/>
      <c r="N607" s="241"/>
      <c r="O607" s="241"/>
      <c r="P607" s="241"/>
      <c r="Q607" s="241"/>
      <c r="R607" s="241"/>
      <c r="S607" s="242"/>
    </row>
    <row r="608" spans="1:22" ht="26" x14ac:dyDescent="0.35">
      <c r="A608" s="17" t="s">
        <v>57</v>
      </c>
      <c r="C608"/>
      <c r="D608" s="224" t="s">
        <v>59</v>
      </c>
      <c r="E608" s="225"/>
      <c r="F608" s="225"/>
      <c r="G608" s="225"/>
      <c r="H608" s="225"/>
      <c r="I608" s="225"/>
      <c r="J608" s="225"/>
      <c r="K608" s="225"/>
      <c r="L608" s="225"/>
      <c r="M608" s="225"/>
      <c r="N608" s="225"/>
      <c r="O608" s="225"/>
      <c r="P608" s="225"/>
      <c r="Q608" s="225"/>
      <c r="R608" s="225"/>
      <c r="S608" s="226"/>
      <c r="U608" s="391" t="s">
        <v>16</v>
      </c>
      <c r="V608" s="392"/>
    </row>
    <row r="609" spans="1:22" ht="27" customHeight="1" thickBot="1" x14ac:dyDescent="0.4">
      <c r="A609" s="17" t="s">
        <v>57</v>
      </c>
      <c r="C609"/>
      <c r="D609" s="92" t="s">
        <v>60</v>
      </c>
      <c r="E609" s="227" t="s">
        <v>61</v>
      </c>
      <c r="F609" s="228"/>
      <c r="G609" s="93" t="s">
        <v>11</v>
      </c>
      <c r="H609" s="94" t="s">
        <v>62</v>
      </c>
      <c r="I609" s="94" t="s">
        <v>63</v>
      </c>
      <c r="J609" s="94" t="s">
        <v>64</v>
      </c>
      <c r="K609" s="94" t="s">
        <v>65</v>
      </c>
      <c r="L609" s="94" t="s">
        <v>66</v>
      </c>
      <c r="M609" s="94" t="s">
        <v>67</v>
      </c>
      <c r="N609" s="94" t="s">
        <v>68</v>
      </c>
      <c r="O609" s="94" t="s">
        <v>69</v>
      </c>
      <c r="P609" s="94" t="s">
        <v>70</v>
      </c>
      <c r="Q609" s="94" t="s">
        <v>71</v>
      </c>
      <c r="R609" s="94" t="s">
        <v>72</v>
      </c>
      <c r="S609" s="95" t="s">
        <v>73</v>
      </c>
      <c r="U609" s="287" t="s">
        <v>74</v>
      </c>
      <c r="V609" s="288"/>
    </row>
    <row r="610" spans="1:22" ht="15.75" customHeight="1" thickBot="1" x14ac:dyDescent="0.4">
      <c r="A610" s="8" t="s">
        <v>75</v>
      </c>
      <c r="C610"/>
      <c r="D610" s="250" t="s">
        <v>76</v>
      </c>
      <c r="E610" s="96" t="s">
        <v>77</v>
      </c>
      <c r="F610" s="97" t="s">
        <v>78</v>
      </c>
      <c r="G610" s="65"/>
      <c r="H610" s="66"/>
      <c r="I610" s="67"/>
      <c r="J610" s="67"/>
      <c r="K610" s="67"/>
      <c r="L610" s="67"/>
      <c r="M610" s="68"/>
      <c r="N610" s="68"/>
      <c r="O610" s="68"/>
      <c r="P610" s="68"/>
      <c r="Q610" s="68"/>
      <c r="R610" s="68"/>
      <c r="S610" s="69"/>
      <c r="U610" s="289"/>
      <c r="V610" s="290"/>
    </row>
    <row r="611" spans="1:22" ht="15" thickBot="1" x14ac:dyDescent="0.4">
      <c r="A611" s="8" t="s">
        <v>75</v>
      </c>
      <c r="C611"/>
      <c r="D611" s="251"/>
      <c r="E611" s="70" t="s">
        <v>79</v>
      </c>
      <c r="F611" s="71" t="s">
        <v>80</v>
      </c>
      <c r="G611" s="72"/>
      <c r="H611" s="73"/>
      <c r="I611" s="74"/>
      <c r="J611" s="74"/>
      <c r="K611" s="74"/>
      <c r="L611" s="74"/>
      <c r="M611" s="75"/>
      <c r="N611" s="75"/>
      <c r="O611" s="75"/>
      <c r="P611" s="75"/>
      <c r="Q611" s="75"/>
      <c r="R611" s="75"/>
      <c r="S611" s="76"/>
      <c r="U611" s="199">
        <v>0</v>
      </c>
      <c r="V611" s="200" t="s">
        <v>21</v>
      </c>
    </row>
    <row r="612" spans="1:22" ht="15" thickBot="1" x14ac:dyDescent="0.4">
      <c r="A612" s="8" t="s">
        <v>75</v>
      </c>
      <c r="C612"/>
      <c r="D612" s="251"/>
      <c r="E612" s="77" t="s">
        <v>81</v>
      </c>
      <c r="F612" s="78" t="s">
        <v>82</v>
      </c>
      <c r="G612" s="79"/>
      <c r="H612" s="80"/>
      <c r="I612" s="81"/>
      <c r="J612" s="81"/>
      <c r="K612" s="81"/>
      <c r="L612" s="81"/>
      <c r="M612" s="82"/>
      <c r="N612" s="83"/>
      <c r="O612" s="83"/>
      <c r="P612" s="83"/>
      <c r="Q612" s="83"/>
      <c r="R612" s="83"/>
      <c r="S612" s="84"/>
      <c r="U612" s="33">
        <v>1</v>
      </c>
      <c r="V612" s="201" t="s">
        <v>22</v>
      </c>
    </row>
    <row r="613" spans="1:22" ht="15" thickBot="1" x14ac:dyDescent="0.4">
      <c r="A613" s="8" t="s">
        <v>75</v>
      </c>
      <c r="C613"/>
      <c r="D613" s="251"/>
      <c r="E613" s="77" t="s">
        <v>83</v>
      </c>
      <c r="F613" s="78" t="s">
        <v>84</v>
      </c>
      <c r="G613" s="79"/>
      <c r="H613" s="80"/>
      <c r="I613" s="81"/>
      <c r="J613" s="81"/>
      <c r="K613" s="81"/>
      <c r="L613" s="81"/>
      <c r="M613" s="83"/>
      <c r="N613" s="83"/>
      <c r="O613" s="83"/>
      <c r="P613" s="83"/>
      <c r="Q613" s="83"/>
      <c r="R613" s="83"/>
      <c r="S613" s="84"/>
      <c r="U613" s="41">
        <v>2</v>
      </c>
      <c r="V613" s="202" t="s">
        <v>25</v>
      </c>
    </row>
    <row r="614" spans="1:22" ht="15" thickBot="1" x14ac:dyDescent="0.4">
      <c r="A614" s="5" t="s">
        <v>75</v>
      </c>
      <c r="C614"/>
      <c r="D614" s="251"/>
      <c r="E614" s="77" t="s">
        <v>85</v>
      </c>
      <c r="F614" s="78" t="s">
        <v>86</v>
      </c>
      <c r="G614" s="79"/>
      <c r="H614" s="80"/>
      <c r="I614" s="81"/>
      <c r="J614" s="81"/>
      <c r="K614" s="81"/>
      <c r="L614" s="81"/>
      <c r="M614" s="83"/>
      <c r="N614" s="83"/>
      <c r="O614" s="83"/>
      <c r="P614" s="83"/>
      <c r="Q614" s="83"/>
      <c r="R614" s="83"/>
      <c r="S614" s="84"/>
      <c r="U614" s="38">
        <v>3</v>
      </c>
      <c r="V614" s="203" t="s">
        <v>26</v>
      </c>
    </row>
    <row r="615" spans="1:22" ht="15" thickBot="1" x14ac:dyDescent="0.4">
      <c r="A615" s="5" t="s">
        <v>75</v>
      </c>
      <c r="C615"/>
      <c r="D615" s="252"/>
      <c r="E615" s="77" t="s">
        <v>87</v>
      </c>
      <c r="F615" s="78" t="s">
        <v>88</v>
      </c>
      <c r="G615" s="79"/>
      <c r="H615" s="80"/>
      <c r="I615" s="81"/>
      <c r="J615" s="81"/>
      <c r="K615" s="81"/>
      <c r="L615" s="81"/>
      <c r="M615" s="83"/>
      <c r="N615" s="83"/>
      <c r="O615" s="83"/>
      <c r="P615" s="83"/>
      <c r="Q615" s="83"/>
      <c r="R615" s="83"/>
      <c r="S615" s="84"/>
      <c r="U615" s="35">
        <v>4</v>
      </c>
      <c r="V615" s="204" t="s">
        <v>29</v>
      </c>
    </row>
    <row r="616" spans="1:22" ht="15" thickBot="1" x14ac:dyDescent="0.4">
      <c r="A616" s="5" t="s">
        <v>75</v>
      </c>
      <c r="C616"/>
      <c r="D616" s="253" t="s">
        <v>37</v>
      </c>
      <c r="E616" s="77" t="s">
        <v>89</v>
      </c>
      <c r="F616" s="78" t="s">
        <v>90</v>
      </c>
      <c r="G616" s="79"/>
      <c r="H616" s="80"/>
      <c r="I616" s="81"/>
      <c r="J616" s="81"/>
      <c r="K616" s="81"/>
      <c r="L616" s="81"/>
      <c r="M616" s="83"/>
      <c r="N616" s="83"/>
      <c r="O616" s="83"/>
      <c r="P616" s="83"/>
      <c r="Q616" s="83"/>
      <c r="R616" s="83"/>
      <c r="S616" s="84"/>
      <c r="U616" s="46">
        <v>5</v>
      </c>
      <c r="V616" s="60" t="s">
        <v>30</v>
      </c>
    </row>
    <row r="617" spans="1:22" ht="15" thickBot="1" x14ac:dyDescent="0.4">
      <c r="A617" s="5" t="s">
        <v>75</v>
      </c>
      <c r="C617"/>
      <c r="D617" s="253"/>
      <c r="E617" s="77" t="s">
        <v>91</v>
      </c>
      <c r="F617" s="78" t="s">
        <v>92</v>
      </c>
      <c r="G617" s="79"/>
      <c r="H617" s="80"/>
      <c r="I617" s="81"/>
      <c r="J617" s="81"/>
      <c r="K617" s="81"/>
      <c r="L617" s="81"/>
      <c r="M617" s="83"/>
      <c r="N617" s="83"/>
      <c r="O617" s="83"/>
      <c r="P617" s="83"/>
      <c r="Q617" s="83"/>
      <c r="R617" s="83"/>
      <c r="S617" s="84"/>
    </row>
    <row r="618" spans="1:22" ht="15.75" customHeight="1" thickBot="1" x14ac:dyDescent="0.4">
      <c r="A618" s="5" t="s">
        <v>75</v>
      </c>
      <c r="C618"/>
      <c r="D618" s="243" t="s">
        <v>93</v>
      </c>
      <c r="E618" s="77" t="s">
        <v>94</v>
      </c>
      <c r="F618" s="78" t="s">
        <v>95</v>
      </c>
      <c r="G618" s="79"/>
      <c r="H618" s="80"/>
      <c r="I618" s="81"/>
      <c r="J618" s="81"/>
      <c r="K618" s="81"/>
      <c r="L618" s="81"/>
      <c r="M618" s="83"/>
      <c r="N618" s="83"/>
      <c r="O618" s="83"/>
      <c r="P618" s="83"/>
      <c r="Q618" s="83"/>
      <c r="R618" s="83"/>
      <c r="S618" s="84"/>
    </row>
    <row r="619" spans="1:22" ht="15" thickBot="1" x14ac:dyDescent="0.4">
      <c r="A619" s="5" t="s">
        <v>75</v>
      </c>
      <c r="C619"/>
      <c r="D619" s="244"/>
      <c r="E619" s="77" t="s">
        <v>96</v>
      </c>
      <c r="F619" s="78" t="s">
        <v>97</v>
      </c>
      <c r="G619" s="79"/>
      <c r="H619" s="80"/>
      <c r="I619" s="81"/>
      <c r="J619" s="81"/>
      <c r="K619" s="81"/>
      <c r="L619" s="81"/>
      <c r="M619" s="83"/>
      <c r="N619" s="83"/>
      <c r="O619" s="83"/>
      <c r="P619" s="83"/>
      <c r="Q619" s="83"/>
      <c r="R619" s="83"/>
      <c r="S619" s="84"/>
    </row>
    <row r="620" spans="1:22" ht="15" thickBot="1" x14ac:dyDescent="0.4">
      <c r="A620" s="5" t="s">
        <v>75</v>
      </c>
      <c r="C620"/>
      <c r="D620" s="245" t="s">
        <v>98</v>
      </c>
      <c r="E620" s="77" t="s">
        <v>99</v>
      </c>
      <c r="F620" s="78" t="s">
        <v>100</v>
      </c>
      <c r="G620" s="79"/>
      <c r="H620" s="80"/>
      <c r="I620" s="81"/>
      <c r="J620" s="81"/>
      <c r="K620" s="81"/>
      <c r="L620" s="81"/>
      <c r="M620" s="83"/>
      <c r="N620" s="83"/>
      <c r="O620" s="83"/>
      <c r="P620" s="83"/>
      <c r="Q620" s="83"/>
      <c r="R620" s="83"/>
      <c r="S620" s="84"/>
    </row>
    <row r="621" spans="1:22" ht="15" thickBot="1" x14ac:dyDescent="0.4">
      <c r="A621" s="5" t="s">
        <v>75</v>
      </c>
      <c r="C621"/>
      <c r="D621" s="246"/>
      <c r="E621" s="77" t="s">
        <v>101</v>
      </c>
      <c r="F621" s="78" t="s">
        <v>102</v>
      </c>
      <c r="G621" s="79"/>
      <c r="H621" s="80"/>
      <c r="I621" s="81"/>
      <c r="J621" s="81"/>
      <c r="K621" s="81"/>
      <c r="L621" s="81"/>
      <c r="M621" s="83"/>
      <c r="N621" s="83"/>
      <c r="O621" s="83"/>
      <c r="P621" s="83"/>
      <c r="Q621" s="83"/>
      <c r="R621" s="83"/>
      <c r="S621" s="84"/>
    </row>
    <row r="622" spans="1:22" ht="15" thickBot="1" x14ac:dyDescent="0.4">
      <c r="A622" s="5" t="s">
        <v>75</v>
      </c>
      <c r="C622"/>
      <c r="D622" s="245" t="s">
        <v>103</v>
      </c>
      <c r="E622" s="77" t="s">
        <v>104</v>
      </c>
      <c r="F622" s="78" t="s">
        <v>105</v>
      </c>
      <c r="G622" s="79"/>
      <c r="H622" s="80"/>
      <c r="I622" s="81"/>
      <c r="J622" s="81"/>
      <c r="K622" s="81"/>
      <c r="L622" s="81"/>
      <c r="M622" s="83"/>
      <c r="N622" s="83"/>
      <c r="O622" s="83"/>
      <c r="P622" s="83"/>
      <c r="Q622" s="83"/>
      <c r="R622" s="83"/>
      <c r="S622" s="84"/>
    </row>
    <row r="623" spans="1:22" ht="15" thickBot="1" x14ac:dyDescent="0.4">
      <c r="A623" s="5" t="s">
        <v>75</v>
      </c>
      <c r="C623"/>
      <c r="D623" s="246"/>
      <c r="E623" s="77" t="s">
        <v>106</v>
      </c>
      <c r="F623" s="78" t="s">
        <v>107</v>
      </c>
      <c r="G623" s="79"/>
      <c r="H623" s="80"/>
      <c r="I623" s="81"/>
      <c r="J623" s="81"/>
      <c r="K623" s="81"/>
      <c r="L623" s="81"/>
      <c r="M623" s="83"/>
      <c r="N623" s="83"/>
      <c r="O623" s="83"/>
      <c r="P623" s="83"/>
      <c r="Q623" s="83"/>
      <c r="R623" s="83"/>
      <c r="S623" s="84"/>
    </row>
    <row r="624" spans="1:22" ht="15" thickBot="1" x14ac:dyDescent="0.4">
      <c r="A624" s="5" t="s">
        <v>75</v>
      </c>
      <c r="C624"/>
      <c r="D624" s="245" t="s">
        <v>108</v>
      </c>
      <c r="E624" s="77" t="s">
        <v>109</v>
      </c>
      <c r="F624" s="78" t="s">
        <v>110</v>
      </c>
      <c r="G624" s="79"/>
      <c r="H624" s="80"/>
      <c r="I624" s="81"/>
      <c r="J624" s="81"/>
      <c r="K624" s="81"/>
      <c r="L624" s="81"/>
      <c r="M624" s="83"/>
      <c r="N624" s="83"/>
      <c r="O624" s="83"/>
      <c r="P624" s="83"/>
      <c r="Q624" s="83"/>
      <c r="R624" s="83"/>
      <c r="S624" s="84"/>
    </row>
    <row r="625" spans="1:19" ht="15" thickBot="1" x14ac:dyDescent="0.4">
      <c r="A625" s="5" t="s">
        <v>75</v>
      </c>
      <c r="C625"/>
      <c r="D625" s="244"/>
      <c r="E625" s="85" t="s">
        <v>111</v>
      </c>
      <c r="F625" s="86" t="s">
        <v>112</v>
      </c>
      <c r="G625" s="87"/>
      <c r="H625" s="88"/>
      <c r="I625" s="89"/>
      <c r="J625" s="89"/>
      <c r="K625" s="89"/>
      <c r="L625" s="89"/>
      <c r="M625" s="90"/>
      <c r="N625" s="90"/>
      <c r="O625" s="90"/>
      <c r="P625" s="90"/>
      <c r="Q625" s="90"/>
      <c r="R625" s="90"/>
      <c r="S625" s="91"/>
    </row>
    <row r="626" spans="1:19" ht="23.25" customHeight="1" thickBot="1" x14ac:dyDescent="0.4">
      <c r="A626" s="5" t="s">
        <v>75</v>
      </c>
      <c r="C626"/>
      <c r="D626" s="98" t="s">
        <v>113</v>
      </c>
      <c r="E626" s="98"/>
      <c r="F626" s="98" t="s">
        <v>114</v>
      </c>
      <c r="G626" s="99"/>
      <c r="H626" s="247" t="s">
        <v>115</v>
      </c>
      <c r="I626" s="248"/>
      <c r="J626" s="248"/>
      <c r="K626" s="248"/>
      <c r="L626" s="248"/>
      <c r="M626" s="248"/>
      <c r="N626" s="248"/>
      <c r="O626" s="249"/>
      <c r="P626" s="247" t="s">
        <v>116</v>
      </c>
      <c r="Q626" s="248"/>
      <c r="R626" s="248" t="s">
        <v>117</v>
      </c>
      <c r="S626" s="249"/>
    </row>
    <row r="627" spans="1:19" ht="12.75" customHeight="1" x14ac:dyDescent="0.35">
      <c r="A627" s="5" t="s">
        <v>75</v>
      </c>
      <c r="C627"/>
      <c r="D627" s="254" t="s">
        <v>118</v>
      </c>
      <c r="E627" s="255"/>
      <c r="F627" s="260" t="s">
        <v>119</v>
      </c>
      <c r="G627" s="255"/>
      <c r="H627" s="260" t="s">
        <v>120</v>
      </c>
      <c r="I627" s="264"/>
      <c r="J627" s="264"/>
      <c r="K627" s="264"/>
      <c r="L627" s="264"/>
      <c r="M627" s="264"/>
      <c r="N627" s="264"/>
      <c r="O627" s="255"/>
      <c r="P627" s="268" t="s">
        <v>11</v>
      </c>
      <c r="Q627" s="282"/>
      <c r="R627" s="268" t="s">
        <v>121</v>
      </c>
      <c r="S627" s="285"/>
    </row>
    <row r="628" spans="1:19" ht="12.75" customHeight="1" x14ac:dyDescent="0.35">
      <c r="A628" s="5" t="s">
        <v>75</v>
      </c>
      <c r="C628"/>
      <c r="D628" s="256"/>
      <c r="E628" s="257"/>
      <c r="F628" s="261"/>
      <c r="G628" s="257"/>
      <c r="H628" s="261"/>
      <c r="I628" s="265"/>
      <c r="J628" s="265"/>
      <c r="K628" s="265"/>
      <c r="L628" s="265"/>
      <c r="M628" s="265"/>
      <c r="N628" s="265"/>
      <c r="O628" s="257"/>
      <c r="P628" s="270"/>
      <c r="Q628" s="283"/>
      <c r="R628" s="270"/>
      <c r="S628" s="280"/>
    </row>
    <row r="629" spans="1:19" ht="12.75" customHeight="1" x14ac:dyDescent="0.35">
      <c r="A629" s="5" t="s">
        <v>75</v>
      </c>
      <c r="C629"/>
      <c r="D629" s="256"/>
      <c r="E629" s="257"/>
      <c r="F629" s="261"/>
      <c r="G629" s="257"/>
      <c r="H629" s="261"/>
      <c r="I629" s="265"/>
      <c r="J629" s="265"/>
      <c r="K629" s="265"/>
      <c r="L629" s="265"/>
      <c r="M629" s="265"/>
      <c r="N629" s="265"/>
      <c r="O629" s="257"/>
      <c r="P629" s="270"/>
      <c r="Q629" s="283"/>
      <c r="R629" s="270"/>
      <c r="S629" s="280"/>
    </row>
    <row r="630" spans="1:19" ht="12.75" customHeight="1" thickBot="1" x14ac:dyDescent="0.4">
      <c r="A630" s="5" t="s">
        <v>75</v>
      </c>
      <c r="C630"/>
      <c r="D630" s="258"/>
      <c r="E630" s="259"/>
      <c r="F630" s="262"/>
      <c r="G630" s="263"/>
      <c r="H630" s="266"/>
      <c r="I630" s="267"/>
      <c r="J630" s="267"/>
      <c r="K630" s="267"/>
      <c r="L630" s="267"/>
      <c r="M630" s="267"/>
      <c r="N630" s="267"/>
      <c r="O630" s="259"/>
      <c r="P630" s="272"/>
      <c r="Q630" s="284"/>
      <c r="R630" s="272"/>
      <c r="S630" s="286"/>
    </row>
    <row r="631" spans="1:19" ht="12.75" customHeight="1" x14ac:dyDescent="0.35">
      <c r="A631" s="5" t="s">
        <v>75</v>
      </c>
      <c r="C631"/>
      <c r="D631" s="254" t="s">
        <v>118</v>
      </c>
      <c r="E631" s="255"/>
      <c r="F631" s="260" t="s">
        <v>119</v>
      </c>
      <c r="G631" s="255"/>
      <c r="H631" s="260" t="s">
        <v>120</v>
      </c>
      <c r="I631" s="264"/>
      <c r="J631" s="264"/>
      <c r="K631" s="264"/>
      <c r="L631" s="264"/>
      <c r="M631" s="264"/>
      <c r="N631" s="264"/>
      <c r="O631" s="255"/>
      <c r="P631" s="268" t="s">
        <v>11</v>
      </c>
      <c r="Q631" s="269"/>
      <c r="R631" s="278" t="s">
        <v>121</v>
      </c>
      <c r="S631" s="279"/>
    </row>
    <row r="632" spans="1:19" ht="12.75" customHeight="1" x14ac:dyDescent="0.35">
      <c r="A632" s="5" t="s">
        <v>75</v>
      </c>
      <c r="C632"/>
      <c r="D632" s="256"/>
      <c r="E632" s="257"/>
      <c r="F632" s="261"/>
      <c r="G632" s="257"/>
      <c r="H632" s="261"/>
      <c r="I632" s="265"/>
      <c r="J632" s="265"/>
      <c r="K632" s="265"/>
      <c r="L632" s="265"/>
      <c r="M632" s="265"/>
      <c r="N632" s="265"/>
      <c r="O632" s="257"/>
      <c r="P632" s="270"/>
      <c r="Q632" s="271"/>
      <c r="R632" s="270"/>
      <c r="S632" s="280"/>
    </row>
    <row r="633" spans="1:19" ht="12.75" customHeight="1" x14ac:dyDescent="0.35">
      <c r="A633" s="5" t="s">
        <v>75</v>
      </c>
      <c r="C633"/>
      <c r="D633" s="256"/>
      <c r="E633" s="257"/>
      <c r="F633" s="261"/>
      <c r="G633" s="257"/>
      <c r="H633" s="261"/>
      <c r="I633" s="265"/>
      <c r="J633" s="265"/>
      <c r="K633" s="265"/>
      <c r="L633" s="265"/>
      <c r="M633" s="265"/>
      <c r="N633" s="265"/>
      <c r="O633" s="257"/>
      <c r="P633" s="270"/>
      <c r="Q633" s="271"/>
      <c r="R633" s="270"/>
      <c r="S633" s="280"/>
    </row>
    <row r="634" spans="1:19" ht="12.75" customHeight="1" thickBot="1" x14ac:dyDescent="0.4">
      <c r="A634" s="5" t="s">
        <v>75</v>
      </c>
      <c r="C634"/>
      <c r="D634" s="258"/>
      <c r="E634" s="259"/>
      <c r="F634" s="262"/>
      <c r="G634" s="263"/>
      <c r="H634" s="266"/>
      <c r="I634" s="267"/>
      <c r="J634" s="267"/>
      <c r="K634" s="267"/>
      <c r="L634" s="267"/>
      <c r="M634" s="267"/>
      <c r="N634" s="267"/>
      <c r="O634" s="259"/>
      <c r="P634" s="272"/>
      <c r="Q634" s="273"/>
      <c r="R634" s="272"/>
      <c r="S634" s="286"/>
    </row>
    <row r="635" spans="1:19" ht="12.75" customHeight="1" x14ac:dyDescent="0.35">
      <c r="A635" s="5" t="s">
        <v>75</v>
      </c>
      <c r="C635"/>
      <c r="D635" s="254" t="s">
        <v>118</v>
      </c>
      <c r="E635" s="255"/>
      <c r="F635" s="260" t="s">
        <v>119</v>
      </c>
      <c r="G635" s="255"/>
      <c r="H635" s="260" t="s">
        <v>120</v>
      </c>
      <c r="I635" s="264"/>
      <c r="J635" s="264"/>
      <c r="K635" s="264"/>
      <c r="L635" s="264"/>
      <c r="M635" s="264"/>
      <c r="N635" s="264"/>
      <c r="O635" s="255"/>
      <c r="P635" s="268" t="s">
        <v>11</v>
      </c>
      <c r="Q635" s="269"/>
      <c r="R635" s="278" t="s">
        <v>121</v>
      </c>
      <c r="S635" s="279"/>
    </row>
    <row r="636" spans="1:19" ht="12.75" customHeight="1" x14ac:dyDescent="0.35">
      <c r="A636" s="5" t="s">
        <v>75</v>
      </c>
      <c r="C636"/>
      <c r="D636" s="256"/>
      <c r="E636" s="257"/>
      <c r="F636" s="261"/>
      <c r="G636" s="257"/>
      <c r="H636" s="261"/>
      <c r="I636" s="265"/>
      <c r="J636" s="265"/>
      <c r="K636" s="265"/>
      <c r="L636" s="265"/>
      <c r="M636" s="265"/>
      <c r="N636" s="265"/>
      <c r="O636" s="257"/>
      <c r="P636" s="270"/>
      <c r="Q636" s="271"/>
      <c r="R636" s="270"/>
      <c r="S636" s="280"/>
    </row>
    <row r="637" spans="1:19" ht="12.75" customHeight="1" x14ac:dyDescent="0.35">
      <c r="A637" s="5" t="s">
        <v>75</v>
      </c>
      <c r="C637"/>
      <c r="D637" s="256"/>
      <c r="E637" s="257"/>
      <c r="F637" s="261"/>
      <c r="G637" s="257"/>
      <c r="H637" s="261"/>
      <c r="I637" s="265"/>
      <c r="J637" s="265"/>
      <c r="K637" s="265"/>
      <c r="L637" s="265"/>
      <c r="M637" s="265"/>
      <c r="N637" s="265"/>
      <c r="O637" s="257"/>
      <c r="P637" s="270"/>
      <c r="Q637" s="271"/>
      <c r="R637" s="270"/>
      <c r="S637" s="280"/>
    </row>
    <row r="638" spans="1:19" ht="12.75" customHeight="1" thickBot="1" x14ac:dyDescent="0.4">
      <c r="A638" s="5" t="s">
        <v>75</v>
      </c>
      <c r="C638"/>
      <c r="D638" s="274"/>
      <c r="E638" s="263"/>
      <c r="F638" s="262"/>
      <c r="G638" s="263"/>
      <c r="H638" s="262"/>
      <c r="I638" s="275"/>
      <c r="J638" s="275"/>
      <c r="K638" s="275"/>
      <c r="L638" s="275"/>
      <c r="M638" s="275"/>
      <c r="N638" s="275"/>
      <c r="O638" s="263"/>
      <c r="P638" s="276"/>
      <c r="Q638" s="277"/>
      <c r="R638" s="276"/>
      <c r="S638" s="281"/>
    </row>
    <row r="653" spans="1:19" ht="23" thickBot="1" x14ac:dyDescent="0.5">
      <c r="C653"/>
      <c r="D653" s="11">
        <f>D603+1</f>
        <v>13</v>
      </c>
      <c r="E653" s="11"/>
      <c r="F653" s="14"/>
      <c r="G653" s="14"/>
      <c r="H653" s="14"/>
      <c r="I653" s="14"/>
      <c r="J653" s="14"/>
      <c r="K653" s="14"/>
      <c r="L653" s="14"/>
      <c r="M653" s="14"/>
      <c r="N653" s="14"/>
      <c r="O653" s="14"/>
      <c r="P653" s="14"/>
      <c r="Q653" s="14"/>
      <c r="R653" s="14"/>
      <c r="S653" s="14"/>
    </row>
    <row r="654" spans="1:19" ht="30" customHeight="1" thickBot="1" x14ac:dyDescent="0.4">
      <c r="A654" s="17" t="s">
        <v>57</v>
      </c>
      <c r="C654"/>
      <c r="D654" s="295" t="e">
        <f ca="1">"Hoshin Implementation Plan "&amp;#REF!&amp;"   -   Must Win Battle / Strategy:   "&amp;$L$2</f>
        <v>#REF!</v>
      </c>
      <c r="E654" s="296"/>
      <c r="F654" s="296"/>
      <c r="G654" s="297"/>
      <c r="H654" s="298" t="e">
        <f ca="1">"Work Stream:   "&amp;OFFSET($E$7,2*(D653+1)-1,0)&amp;" - "&amp;OFFSET($F$7,2*(D653+1)-1,0)</f>
        <v>#NAME?</v>
      </c>
      <c r="I654" s="296"/>
      <c r="J654" s="296"/>
      <c r="K654" s="296"/>
      <c r="L654" s="296"/>
      <c r="M654" s="296"/>
      <c r="N654" s="296"/>
      <c r="O654" s="296"/>
      <c r="P654" s="296"/>
      <c r="Q654" s="296"/>
      <c r="R654" s="296"/>
      <c r="S654" s="299"/>
    </row>
    <row r="655" spans="1:19" ht="26" x14ac:dyDescent="0.35">
      <c r="A655" s="17" t="s">
        <v>57</v>
      </c>
      <c r="C655"/>
      <c r="D655" s="240" t="s">
        <v>1</v>
      </c>
      <c r="E655" s="241"/>
      <c r="F655" s="241"/>
      <c r="G655" s="291"/>
      <c r="H655" s="292" t="s">
        <v>2</v>
      </c>
      <c r="I655" s="241"/>
      <c r="J655" s="291"/>
      <c r="K655" s="292" t="s">
        <v>3</v>
      </c>
      <c r="L655" s="241"/>
      <c r="M655" s="241"/>
      <c r="N655" s="241" t="s">
        <v>58</v>
      </c>
      <c r="O655" s="241"/>
      <c r="P655" s="291"/>
      <c r="Q655" s="293" t="s">
        <v>13</v>
      </c>
      <c r="R655" s="293"/>
      <c r="S655" s="294"/>
    </row>
    <row r="656" spans="1:19" ht="26.25" customHeight="1" x14ac:dyDescent="0.35">
      <c r="A656" s="17" t="s">
        <v>57</v>
      </c>
      <c r="C656"/>
      <c r="D656" s="229" t="e">
        <f>$D$4</f>
        <v>#REF!</v>
      </c>
      <c r="E656" s="230"/>
      <c r="F656" s="230"/>
      <c r="G656" s="230"/>
      <c r="H656" s="231" t="e">
        <f>$F$4</f>
        <v>#REF!</v>
      </c>
      <c r="I656" s="230"/>
      <c r="J656" s="232"/>
      <c r="K656" s="233" t="str">
        <f ca="1">OFFSET($G$7,2*(D653+1)-1,0)</f>
        <v>M</v>
      </c>
      <c r="L656" s="234"/>
      <c r="M656" s="235"/>
      <c r="N656" s="236" t="s">
        <v>6</v>
      </c>
      <c r="O656" s="237"/>
      <c r="P656" s="238"/>
      <c r="Q656" s="236" t="s">
        <v>6</v>
      </c>
      <c r="R656" s="237"/>
      <c r="S656" s="239"/>
    </row>
    <row r="657" spans="1:22" ht="26.5" thickBot="1" x14ac:dyDescent="0.4">
      <c r="A657" s="17" t="s">
        <v>57</v>
      </c>
      <c r="C657"/>
      <c r="D657" s="240" t="s">
        <v>7</v>
      </c>
      <c r="E657" s="241"/>
      <c r="F657" s="241"/>
      <c r="G657" s="241"/>
      <c r="H657" s="241"/>
      <c r="I657" s="241"/>
      <c r="J657" s="241"/>
      <c r="K657" s="241"/>
      <c r="L657" s="241"/>
      <c r="M657" s="241"/>
      <c r="N657" s="241"/>
      <c r="O657" s="241"/>
      <c r="P657" s="241"/>
      <c r="Q657" s="241"/>
      <c r="R657" s="241"/>
      <c r="S657" s="242"/>
    </row>
    <row r="658" spans="1:22" ht="26" x14ac:dyDescent="0.35">
      <c r="A658" s="17" t="s">
        <v>57</v>
      </c>
      <c r="C658"/>
      <c r="D658" s="224" t="s">
        <v>59</v>
      </c>
      <c r="E658" s="225"/>
      <c r="F658" s="225"/>
      <c r="G658" s="225"/>
      <c r="H658" s="225"/>
      <c r="I658" s="225"/>
      <c r="J658" s="225"/>
      <c r="K658" s="225"/>
      <c r="L658" s="225"/>
      <c r="M658" s="225"/>
      <c r="N658" s="225"/>
      <c r="O658" s="225"/>
      <c r="P658" s="225"/>
      <c r="Q658" s="225"/>
      <c r="R658" s="225"/>
      <c r="S658" s="226"/>
      <c r="U658" s="391" t="s">
        <v>16</v>
      </c>
      <c r="V658" s="392"/>
    </row>
    <row r="659" spans="1:22" ht="27" customHeight="1" thickBot="1" x14ac:dyDescent="0.4">
      <c r="A659" s="17" t="s">
        <v>57</v>
      </c>
      <c r="C659"/>
      <c r="D659" s="92" t="s">
        <v>60</v>
      </c>
      <c r="E659" s="227" t="s">
        <v>61</v>
      </c>
      <c r="F659" s="228"/>
      <c r="G659" s="93" t="s">
        <v>11</v>
      </c>
      <c r="H659" s="94" t="s">
        <v>62</v>
      </c>
      <c r="I659" s="94" t="s">
        <v>63</v>
      </c>
      <c r="J659" s="94" t="s">
        <v>64</v>
      </c>
      <c r="K659" s="94" t="s">
        <v>65</v>
      </c>
      <c r="L659" s="94" t="s">
        <v>66</v>
      </c>
      <c r="M659" s="94" t="s">
        <v>67</v>
      </c>
      <c r="N659" s="94" t="s">
        <v>68</v>
      </c>
      <c r="O659" s="94" t="s">
        <v>69</v>
      </c>
      <c r="P659" s="94" t="s">
        <v>70</v>
      </c>
      <c r="Q659" s="94" t="s">
        <v>71</v>
      </c>
      <c r="R659" s="94" t="s">
        <v>72</v>
      </c>
      <c r="S659" s="95" t="s">
        <v>73</v>
      </c>
      <c r="U659" s="287" t="s">
        <v>74</v>
      </c>
      <c r="V659" s="288"/>
    </row>
    <row r="660" spans="1:22" ht="15.75" customHeight="1" thickBot="1" x14ac:dyDescent="0.4">
      <c r="A660" s="8" t="s">
        <v>75</v>
      </c>
      <c r="C660"/>
      <c r="D660" s="250" t="s">
        <v>76</v>
      </c>
      <c r="E660" s="96" t="s">
        <v>77</v>
      </c>
      <c r="F660" s="97" t="s">
        <v>78</v>
      </c>
      <c r="G660" s="65"/>
      <c r="H660" s="66"/>
      <c r="I660" s="67"/>
      <c r="J660" s="67"/>
      <c r="K660" s="67"/>
      <c r="L660" s="67"/>
      <c r="M660" s="68"/>
      <c r="N660" s="68"/>
      <c r="O660" s="68"/>
      <c r="P660" s="68"/>
      <c r="Q660" s="68"/>
      <c r="R660" s="68"/>
      <c r="S660" s="69"/>
      <c r="U660" s="289"/>
      <c r="V660" s="290"/>
    </row>
    <row r="661" spans="1:22" ht="15" thickBot="1" x14ac:dyDescent="0.4">
      <c r="A661" s="8" t="s">
        <v>75</v>
      </c>
      <c r="C661"/>
      <c r="D661" s="251"/>
      <c r="E661" s="70" t="s">
        <v>79</v>
      </c>
      <c r="F661" s="71" t="s">
        <v>80</v>
      </c>
      <c r="G661" s="72"/>
      <c r="H661" s="73"/>
      <c r="I661" s="74"/>
      <c r="J661" s="74"/>
      <c r="K661" s="74"/>
      <c r="L661" s="74"/>
      <c r="M661" s="75"/>
      <c r="N661" s="75"/>
      <c r="O661" s="75"/>
      <c r="P661" s="75"/>
      <c r="Q661" s="75"/>
      <c r="R661" s="75"/>
      <c r="S661" s="76"/>
      <c r="U661" s="199">
        <v>0</v>
      </c>
      <c r="V661" s="200" t="s">
        <v>21</v>
      </c>
    </row>
    <row r="662" spans="1:22" ht="15" thickBot="1" x14ac:dyDescent="0.4">
      <c r="A662" s="8" t="s">
        <v>75</v>
      </c>
      <c r="C662"/>
      <c r="D662" s="251"/>
      <c r="E662" s="77" t="s">
        <v>81</v>
      </c>
      <c r="F662" s="78" t="s">
        <v>82</v>
      </c>
      <c r="G662" s="79"/>
      <c r="H662" s="80"/>
      <c r="I662" s="81"/>
      <c r="J662" s="81"/>
      <c r="K662" s="81"/>
      <c r="L662" s="81"/>
      <c r="M662" s="82"/>
      <c r="N662" s="83"/>
      <c r="O662" s="83"/>
      <c r="P662" s="83"/>
      <c r="Q662" s="83"/>
      <c r="R662" s="83"/>
      <c r="S662" s="84"/>
      <c r="U662" s="33">
        <v>1</v>
      </c>
      <c r="V662" s="201" t="s">
        <v>22</v>
      </c>
    </row>
    <row r="663" spans="1:22" ht="15" thickBot="1" x14ac:dyDescent="0.4">
      <c r="A663" s="8" t="s">
        <v>75</v>
      </c>
      <c r="C663"/>
      <c r="D663" s="251"/>
      <c r="E663" s="77" t="s">
        <v>83</v>
      </c>
      <c r="F663" s="78" t="s">
        <v>84</v>
      </c>
      <c r="G663" s="79"/>
      <c r="H663" s="80"/>
      <c r="I663" s="81"/>
      <c r="J663" s="81"/>
      <c r="K663" s="81"/>
      <c r="L663" s="81"/>
      <c r="M663" s="83"/>
      <c r="N663" s="83"/>
      <c r="O663" s="83"/>
      <c r="P663" s="83"/>
      <c r="Q663" s="83"/>
      <c r="R663" s="83"/>
      <c r="S663" s="84"/>
      <c r="U663" s="41">
        <v>2</v>
      </c>
      <c r="V663" s="202" t="s">
        <v>25</v>
      </c>
    </row>
    <row r="664" spans="1:22" ht="15" thickBot="1" x14ac:dyDescent="0.4">
      <c r="A664" s="5" t="s">
        <v>75</v>
      </c>
      <c r="C664"/>
      <c r="D664" s="251"/>
      <c r="E664" s="77" t="s">
        <v>85</v>
      </c>
      <c r="F664" s="78" t="s">
        <v>86</v>
      </c>
      <c r="G664" s="79"/>
      <c r="H664" s="80"/>
      <c r="I664" s="81"/>
      <c r="J664" s="81"/>
      <c r="K664" s="81"/>
      <c r="L664" s="81"/>
      <c r="M664" s="83"/>
      <c r="N664" s="83"/>
      <c r="O664" s="83"/>
      <c r="P664" s="83"/>
      <c r="Q664" s="83"/>
      <c r="R664" s="83"/>
      <c r="S664" s="84"/>
      <c r="U664" s="38">
        <v>3</v>
      </c>
      <c r="V664" s="203" t="s">
        <v>26</v>
      </c>
    </row>
    <row r="665" spans="1:22" ht="15" thickBot="1" x14ac:dyDescent="0.4">
      <c r="A665" s="5" t="s">
        <v>75</v>
      </c>
      <c r="C665"/>
      <c r="D665" s="252"/>
      <c r="E665" s="77" t="s">
        <v>87</v>
      </c>
      <c r="F665" s="78" t="s">
        <v>88</v>
      </c>
      <c r="G665" s="79"/>
      <c r="H665" s="80"/>
      <c r="I665" s="81"/>
      <c r="J665" s="81"/>
      <c r="K665" s="81"/>
      <c r="L665" s="81"/>
      <c r="M665" s="83"/>
      <c r="N665" s="83"/>
      <c r="O665" s="83"/>
      <c r="P665" s="83"/>
      <c r="Q665" s="83"/>
      <c r="R665" s="83"/>
      <c r="S665" s="84"/>
      <c r="U665" s="35">
        <v>4</v>
      </c>
      <c r="V665" s="204" t="s">
        <v>29</v>
      </c>
    </row>
    <row r="666" spans="1:22" ht="15" thickBot="1" x14ac:dyDescent="0.4">
      <c r="A666" s="5" t="s">
        <v>75</v>
      </c>
      <c r="C666"/>
      <c r="D666" s="253" t="s">
        <v>37</v>
      </c>
      <c r="E666" s="77" t="s">
        <v>89</v>
      </c>
      <c r="F666" s="78" t="s">
        <v>90</v>
      </c>
      <c r="G666" s="79"/>
      <c r="H666" s="80"/>
      <c r="I666" s="81"/>
      <c r="J666" s="81"/>
      <c r="K666" s="81"/>
      <c r="L666" s="81"/>
      <c r="M666" s="83"/>
      <c r="N666" s="83"/>
      <c r="O666" s="83"/>
      <c r="P666" s="83"/>
      <c r="Q666" s="83"/>
      <c r="R666" s="83"/>
      <c r="S666" s="84"/>
      <c r="U666" s="46">
        <v>5</v>
      </c>
      <c r="V666" s="60" t="s">
        <v>30</v>
      </c>
    </row>
    <row r="667" spans="1:22" ht="15" thickBot="1" x14ac:dyDescent="0.4">
      <c r="A667" s="5" t="s">
        <v>75</v>
      </c>
      <c r="C667"/>
      <c r="D667" s="253"/>
      <c r="E667" s="77" t="s">
        <v>91</v>
      </c>
      <c r="F667" s="78" t="s">
        <v>92</v>
      </c>
      <c r="G667" s="79"/>
      <c r="H667" s="80"/>
      <c r="I667" s="81"/>
      <c r="J667" s="81"/>
      <c r="K667" s="81"/>
      <c r="L667" s="81"/>
      <c r="M667" s="83"/>
      <c r="N667" s="83"/>
      <c r="O667" s="83"/>
      <c r="P667" s="83"/>
      <c r="Q667" s="83"/>
      <c r="R667" s="83"/>
      <c r="S667" s="84"/>
    </row>
    <row r="668" spans="1:22" ht="15.75" customHeight="1" thickBot="1" x14ac:dyDescent="0.4">
      <c r="A668" s="5" t="s">
        <v>75</v>
      </c>
      <c r="C668"/>
      <c r="D668" s="243" t="s">
        <v>93</v>
      </c>
      <c r="E668" s="77" t="s">
        <v>94</v>
      </c>
      <c r="F668" s="78" t="s">
        <v>95</v>
      </c>
      <c r="G668" s="79"/>
      <c r="H668" s="80"/>
      <c r="I668" s="81"/>
      <c r="J668" s="81"/>
      <c r="K668" s="81"/>
      <c r="L668" s="81"/>
      <c r="M668" s="83"/>
      <c r="N668" s="83"/>
      <c r="O668" s="83"/>
      <c r="P668" s="83"/>
      <c r="Q668" s="83"/>
      <c r="R668" s="83"/>
      <c r="S668" s="84"/>
    </row>
    <row r="669" spans="1:22" ht="15" thickBot="1" x14ac:dyDescent="0.4">
      <c r="A669" s="5" t="s">
        <v>75</v>
      </c>
      <c r="C669"/>
      <c r="D669" s="244"/>
      <c r="E669" s="77" t="s">
        <v>96</v>
      </c>
      <c r="F669" s="78" t="s">
        <v>97</v>
      </c>
      <c r="G669" s="79"/>
      <c r="H669" s="80"/>
      <c r="I669" s="81"/>
      <c r="J669" s="81"/>
      <c r="K669" s="81"/>
      <c r="L669" s="81"/>
      <c r="M669" s="83"/>
      <c r="N669" s="83"/>
      <c r="O669" s="83"/>
      <c r="P669" s="83"/>
      <c r="Q669" s="83"/>
      <c r="R669" s="83"/>
      <c r="S669" s="84"/>
    </row>
    <row r="670" spans="1:22" ht="15" thickBot="1" x14ac:dyDescent="0.4">
      <c r="A670" s="5" t="s">
        <v>75</v>
      </c>
      <c r="C670"/>
      <c r="D670" s="245" t="s">
        <v>98</v>
      </c>
      <c r="E670" s="77" t="s">
        <v>99</v>
      </c>
      <c r="F670" s="78" t="s">
        <v>100</v>
      </c>
      <c r="G670" s="79"/>
      <c r="H670" s="80"/>
      <c r="I670" s="81"/>
      <c r="J670" s="81"/>
      <c r="K670" s="81"/>
      <c r="L670" s="81"/>
      <c r="M670" s="83"/>
      <c r="N670" s="83"/>
      <c r="O670" s="83"/>
      <c r="P670" s="83"/>
      <c r="Q670" s="83"/>
      <c r="R670" s="83"/>
      <c r="S670" s="84"/>
    </row>
    <row r="671" spans="1:22" ht="15" thickBot="1" x14ac:dyDescent="0.4">
      <c r="A671" s="5" t="s">
        <v>75</v>
      </c>
      <c r="C671"/>
      <c r="D671" s="246"/>
      <c r="E671" s="77" t="s">
        <v>101</v>
      </c>
      <c r="F671" s="78" t="s">
        <v>102</v>
      </c>
      <c r="G671" s="79"/>
      <c r="H671" s="80"/>
      <c r="I671" s="81"/>
      <c r="J671" s="81"/>
      <c r="K671" s="81"/>
      <c r="L671" s="81"/>
      <c r="M671" s="83"/>
      <c r="N671" s="83"/>
      <c r="O671" s="83"/>
      <c r="P671" s="83"/>
      <c r="Q671" s="83"/>
      <c r="R671" s="83"/>
      <c r="S671" s="84"/>
    </row>
    <row r="672" spans="1:22" ht="15" thickBot="1" x14ac:dyDescent="0.4">
      <c r="A672" s="5" t="s">
        <v>75</v>
      </c>
      <c r="C672"/>
      <c r="D672" s="245" t="s">
        <v>103</v>
      </c>
      <c r="E672" s="77" t="s">
        <v>104</v>
      </c>
      <c r="F672" s="78" t="s">
        <v>105</v>
      </c>
      <c r="G672" s="79"/>
      <c r="H672" s="80"/>
      <c r="I672" s="81"/>
      <c r="J672" s="81"/>
      <c r="K672" s="81"/>
      <c r="L672" s="81"/>
      <c r="M672" s="83"/>
      <c r="N672" s="83"/>
      <c r="O672" s="83"/>
      <c r="P672" s="83"/>
      <c r="Q672" s="83"/>
      <c r="R672" s="83"/>
      <c r="S672" s="84"/>
    </row>
    <row r="673" spans="1:19" ht="15" thickBot="1" x14ac:dyDescent="0.4">
      <c r="A673" s="5" t="s">
        <v>75</v>
      </c>
      <c r="C673"/>
      <c r="D673" s="246"/>
      <c r="E673" s="77" t="s">
        <v>106</v>
      </c>
      <c r="F673" s="78" t="s">
        <v>107</v>
      </c>
      <c r="G673" s="79"/>
      <c r="H673" s="80"/>
      <c r="I673" s="81"/>
      <c r="J673" s="81"/>
      <c r="K673" s="81"/>
      <c r="L673" s="81"/>
      <c r="M673" s="83"/>
      <c r="N673" s="83"/>
      <c r="O673" s="83"/>
      <c r="P673" s="83"/>
      <c r="Q673" s="83"/>
      <c r="R673" s="83"/>
      <c r="S673" s="84"/>
    </row>
    <row r="674" spans="1:19" ht="15" thickBot="1" x14ac:dyDescent="0.4">
      <c r="A674" s="5" t="s">
        <v>75</v>
      </c>
      <c r="C674"/>
      <c r="D674" s="245" t="s">
        <v>108</v>
      </c>
      <c r="E674" s="77" t="s">
        <v>109</v>
      </c>
      <c r="F674" s="78" t="s">
        <v>110</v>
      </c>
      <c r="G674" s="79"/>
      <c r="H674" s="80"/>
      <c r="I674" s="81"/>
      <c r="J674" s="81"/>
      <c r="K674" s="81"/>
      <c r="L674" s="81"/>
      <c r="M674" s="83"/>
      <c r="N674" s="83"/>
      <c r="O674" s="83"/>
      <c r="P674" s="83"/>
      <c r="Q674" s="83"/>
      <c r="R674" s="83"/>
      <c r="S674" s="84"/>
    </row>
    <row r="675" spans="1:19" ht="15" thickBot="1" x14ac:dyDescent="0.4">
      <c r="A675" s="5" t="s">
        <v>75</v>
      </c>
      <c r="C675"/>
      <c r="D675" s="244"/>
      <c r="E675" s="85" t="s">
        <v>111</v>
      </c>
      <c r="F675" s="86" t="s">
        <v>112</v>
      </c>
      <c r="G675" s="87"/>
      <c r="H675" s="88"/>
      <c r="I675" s="89"/>
      <c r="J675" s="89"/>
      <c r="K675" s="89"/>
      <c r="L675" s="89"/>
      <c r="M675" s="90"/>
      <c r="N675" s="90"/>
      <c r="O675" s="90"/>
      <c r="P675" s="90"/>
      <c r="Q675" s="90"/>
      <c r="R675" s="90"/>
      <c r="S675" s="91"/>
    </row>
    <row r="676" spans="1:19" ht="23.25" customHeight="1" thickBot="1" x14ac:dyDescent="0.4">
      <c r="A676" s="5" t="s">
        <v>75</v>
      </c>
      <c r="C676"/>
      <c r="D676" s="98" t="s">
        <v>113</v>
      </c>
      <c r="E676" s="98"/>
      <c r="F676" s="98" t="s">
        <v>114</v>
      </c>
      <c r="G676" s="99"/>
      <c r="H676" s="247" t="s">
        <v>115</v>
      </c>
      <c r="I676" s="248"/>
      <c r="J676" s="248"/>
      <c r="K676" s="248"/>
      <c r="L676" s="248"/>
      <c r="M676" s="248"/>
      <c r="N676" s="248"/>
      <c r="O676" s="249"/>
      <c r="P676" s="247" t="s">
        <v>116</v>
      </c>
      <c r="Q676" s="248"/>
      <c r="R676" s="248" t="s">
        <v>117</v>
      </c>
      <c r="S676" s="249"/>
    </row>
    <row r="677" spans="1:19" ht="12.75" customHeight="1" x14ac:dyDescent="0.35">
      <c r="A677" s="5" t="s">
        <v>75</v>
      </c>
      <c r="C677"/>
      <c r="D677" s="254" t="s">
        <v>118</v>
      </c>
      <c r="E677" s="255"/>
      <c r="F677" s="260" t="s">
        <v>119</v>
      </c>
      <c r="G677" s="255"/>
      <c r="H677" s="260" t="s">
        <v>120</v>
      </c>
      <c r="I677" s="264"/>
      <c r="J677" s="264"/>
      <c r="K677" s="264"/>
      <c r="L677" s="264"/>
      <c r="M677" s="264"/>
      <c r="N677" s="264"/>
      <c r="O677" s="255"/>
      <c r="P677" s="268" t="s">
        <v>11</v>
      </c>
      <c r="Q677" s="282"/>
      <c r="R677" s="268" t="s">
        <v>121</v>
      </c>
      <c r="S677" s="285"/>
    </row>
    <row r="678" spans="1:19" ht="12.75" customHeight="1" x14ac:dyDescent="0.35">
      <c r="A678" s="5" t="s">
        <v>75</v>
      </c>
      <c r="C678"/>
      <c r="D678" s="256"/>
      <c r="E678" s="257"/>
      <c r="F678" s="261"/>
      <c r="G678" s="257"/>
      <c r="H678" s="261"/>
      <c r="I678" s="265"/>
      <c r="J678" s="265"/>
      <c r="K678" s="265"/>
      <c r="L678" s="265"/>
      <c r="M678" s="265"/>
      <c r="N678" s="265"/>
      <c r="O678" s="257"/>
      <c r="P678" s="270"/>
      <c r="Q678" s="283"/>
      <c r="R678" s="270"/>
      <c r="S678" s="280"/>
    </row>
    <row r="679" spans="1:19" ht="12.75" customHeight="1" x14ac:dyDescent="0.35">
      <c r="A679" s="5" t="s">
        <v>75</v>
      </c>
      <c r="C679"/>
      <c r="D679" s="256"/>
      <c r="E679" s="257"/>
      <c r="F679" s="261"/>
      <c r="G679" s="257"/>
      <c r="H679" s="261"/>
      <c r="I679" s="265"/>
      <c r="J679" s="265"/>
      <c r="K679" s="265"/>
      <c r="L679" s="265"/>
      <c r="M679" s="265"/>
      <c r="N679" s="265"/>
      <c r="O679" s="257"/>
      <c r="P679" s="270"/>
      <c r="Q679" s="283"/>
      <c r="R679" s="270"/>
      <c r="S679" s="280"/>
    </row>
    <row r="680" spans="1:19" ht="12.75" customHeight="1" thickBot="1" x14ac:dyDescent="0.4">
      <c r="A680" s="5" t="s">
        <v>75</v>
      </c>
      <c r="C680"/>
      <c r="D680" s="258"/>
      <c r="E680" s="259"/>
      <c r="F680" s="262"/>
      <c r="G680" s="263"/>
      <c r="H680" s="266"/>
      <c r="I680" s="267"/>
      <c r="J680" s="267"/>
      <c r="K680" s="267"/>
      <c r="L680" s="267"/>
      <c r="M680" s="267"/>
      <c r="N680" s="267"/>
      <c r="O680" s="259"/>
      <c r="P680" s="272"/>
      <c r="Q680" s="284"/>
      <c r="R680" s="272"/>
      <c r="S680" s="286"/>
    </row>
    <row r="681" spans="1:19" ht="12.75" customHeight="1" x14ac:dyDescent="0.35">
      <c r="A681" s="5" t="s">
        <v>75</v>
      </c>
      <c r="C681"/>
      <c r="D681" s="254" t="s">
        <v>118</v>
      </c>
      <c r="E681" s="255"/>
      <c r="F681" s="260" t="s">
        <v>119</v>
      </c>
      <c r="G681" s="255"/>
      <c r="H681" s="260" t="s">
        <v>120</v>
      </c>
      <c r="I681" s="264"/>
      <c r="J681" s="264"/>
      <c r="K681" s="264"/>
      <c r="L681" s="264"/>
      <c r="M681" s="264"/>
      <c r="N681" s="264"/>
      <c r="O681" s="255"/>
      <c r="P681" s="268" t="s">
        <v>11</v>
      </c>
      <c r="Q681" s="269"/>
      <c r="R681" s="278" t="s">
        <v>121</v>
      </c>
      <c r="S681" s="279"/>
    </row>
    <row r="682" spans="1:19" ht="12.75" customHeight="1" x14ac:dyDescent="0.35">
      <c r="A682" s="5" t="s">
        <v>75</v>
      </c>
      <c r="C682"/>
      <c r="D682" s="256"/>
      <c r="E682" s="257"/>
      <c r="F682" s="261"/>
      <c r="G682" s="257"/>
      <c r="H682" s="261"/>
      <c r="I682" s="265"/>
      <c r="J682" s="265"/>
      <c r="K682" s="265"/>
      <c r="L682" s="265"/>
      <c r="M682" s="265"/>
      <c r="N682" s="265"/>
      <c r="O682" s="257"/>
      <c r="P682" s="270"/>
      <c r="Q682" s="271"/>
      <c r="R682" s="270"/>
      <c r="S682" s="280"/>
    </row>
    <row r="683" spans="1:19" ht="12.75" customHeight="1" x14ac:dyDescent="0.35">
      <c r="A683" s="5" t="s">
        <v>75</v>
      </c>
      <c r="C683"/>
      <c r="D683" s="256"/>
      <c r="E683" s="257"/>
      <c r="F683" s="261"/>
      <c r="G683" s="257"/>
      <c r="H683" s="261"/>
      <c r="I683" s="265"/>
      <c r="J683" s="265"/>
      <c r="K683" s="265"/>
      <c r="L683" s="265"/>
      <c r="M683" s="265"/>
      <c r="N683" s="265"/>
      <c r="O683" s="257"/>
      <c r="P683" s="270"/>
      <c r="Q683" s="271"/>
      <c r="R683" s="270"/>
      <c r="S683" s="280"/>
    </row>
    <row r="684" spans="1:19" ht="12.75" customHeight="1" thickBot="1" x14ac:dyDescent="0.4">
      <c r="A684" s="5" t="s">
        <v>75</v>
      </c>
      <c r="C684"/>
      <c r="D684" s="258"/>
      <c r="E684" s="259"/>
      <c r="F684" s="262"/>
      <c r="G684" s="263"/>
      <c r="H684" s="266"/>
      <c r="I684" s="267"/>
      <c r="J684" s="267"/>
      <c r="K684" s="267"/>
      <c r="L684" s="267"/>
      <c r="M684" s="267"/>
      <c r="N684" s="267"/>
      <c r="O684" s="259"/>
      <c r="P684" s="272"/>
      <c r="Q684" s="273"/>
      <c r="R684" s="272"/>
      <c r="S684" s="286"/>
    </row>
    <row r="685" spans="1:19" ht="12.75" customHeight="1" x14ac:dyDescent="0.35">
      <c r="A685" s="5" t="s">
        <v>75</v>
      </c>
      <c r="C685"/>
      <c r="D685" s="254" t="s">
        <v>118</v>
      </c>
      <c r="E685" s="255"/>
      <c r="F685" s="260" t="s">
        <v>119</v>
      </c>
      <c r="G685" s="255"/>
      <c r="H685" s="260" t="s">
        <v>120</v>
      </c>
      <c r="I685" s="264"/>
      <c r="J685" s="264"/>
      <c r="K685" s="264"/>
      <c r="L685" s="264"/>
      <c r="M685" s="264"/>
      <c r="N685" s="264"/>
      <c r="O685" s="255"/>
      <c r="P685" s="268" t="s">
        <v>11</v>
      </c>
      <c r="Q685" s="269"/>
      <c r="R685" s="278" t="s">
        <v>121</v>
      </c>
      <c r="S685" s="279"/>
    </row>
    <row r="686" spans="1:19" ht="12.75" customHeight="1" x14ac:dyDescent="0.35">
      <c r="A686" s="5" t="s">
        <v>75</v>
      </c>
      <c r="C686"/>
      <c r="D686" s="256"/>
      <c r="E686" s="257"/>
      <c r="F686" s="261"/>
      <c r="G686" s="257"/>
      <c r="H686" s="261"/>
      <c r="I686" s="265"/>
      <c r="J686" s="265"/>
      <c r="K686" s="265"/>
      <c r="L686" s="265"/>
      <c r="M686" s="265"/>
      <c r="N686" s="265"/>
      <c r="O686" s="257"/>
      <c r="P686" s="270"/>
      <c r="Q686" s="271"/>
      <c r="R686" s="270"/>
      <c r="S686" s="280"/>
    </row>
    <row r="687" spans="1:19" ht="12.75" customHeight="1" x14ac:dyDescent="0.35">
      <c r="A687" s="5" t="s">
        <v>75</v>
      </c>
      <c r="C687"/>
      <c r="D687" s="256"/>
      <c r="E687" s="257"/>
      <c r="F687" s="261"/>
      <c r="G687" s="257"/>
      <c r="H687" s="261"/>
      <c r="I687" s="265"/>
      <c r="J687" s="265"/>
      <c r="K687" s="265"/>
      <c r="L687" s="265"/>
      <c r="M687" s="265"/>
      <c r="N687" s="265"/>
      <c r="O687" s="257"/>
      <c r="P687" s="270"/>
      <c r="Q687" s="271"/>
      <c r="R687" s="270"/>
      <c r="S687" s="280"/>
    </row>
    <row r="688" spans="1:19" ht="12.75" customHeight="1" thickBot="1" x14ac:dyDescent="0.4">
      <c r="A688" s="5" t="s">
        <v>75</v>
      </c>
      <c r="C688"/>
      <c r="D688" s="274"/>
      <c r="E688" s="263"/>
      <c r="F688" s="262"/>
      <c r="G688" s="263"/>
      <c r="H688" s="262"/>
      <c r="I688" s="275"/>
      <c r="J688" s="275"/>
      <c r="K688" s="275"/>
      <c r="L688" s="275"/>
      <c r="M688" s="275"/>
      <c r="N688" s="275"/>
      <c r="O688" s="263"/>
      <c r="P688" s="276"/>
      <c r="Q688" s="277"/>
      <c r="R688" s="276"/>
      <c r="S688" s="281"/>
    </row>
    <row r="703" spans="1:19" ht="23" thickBot="1" x14ac:dyDescent="0.5">
      <c r="C703"/>
      <c r="D703" s="11">
        <f>D653+1</f>
        <v>14</v>
      </c>
      <c r="E703" s="11"/>
      <c r="F703" s="14"/>
      <c r="G703" s="14"/>
      <c r="H703" s="14"/>
      <c r="I703" s="14"/>
      <c r="J703" s="14"/>
      <c r="K703" s="14"/>
      <c r="L703" s="14"/>
      <c r="M703" s="14"/>
      <c r="N703" s="14"/>
      <c r="O703" s="14"/>
      <c r="P703" s="14"/>
      <c r="Q703" s="14"/>
      <c r="R703" s="14"/>
      <c r="S703" s="14"/>
    </row>
    <row r="704" spans="1:19" ht="30" customHeight="1" thickBot="1" x14ac:dyDescent="0.4">
      <c r="A704" s="17" t="s">
        <v>57</v>
      </c>
      <c r="C704"/>
      <c r="D704" s="295" t="e">
        <f ca="1">"Hoshin Implementation Plan "&amp;#REF!&amp;"   -   Must Win Battle / Strategy:   "&amp;$L$2</f>
        <v>#REF!</v>
      </c>
      <c r="E704" s="296"/>
      <c r="F704" s="296"/>
      <c r="G704" s="297"/>
      <c r="H704" s="298" t="e">
        <f ca="1">"Work Stream:   "&amp;OFFSET($E$7,2*(D703+1)-1,0)&amp;" - "&amp;OFFSET($F$7,2*(D703+1)-1,0)</f>
        <v>#NAME?</v>
      </c>
      <c r="I704" s="296"/>
      <c r="J704" s="296"/>
      <c r="K704" s="296"/>
      <c r="L704" s="296"/>
      <c r="M704" s="296"/>
      <c r="N704" s="296"/>
      <c r="O704" s="296"/>
      <c r="P704" s="296"/>
      <c r="Q704" s="296"/>
      <c r="R704" s="296"/>
      <c r="S704" s="299"/>
    </row>
    <row r="705" spans="1:22" ht="26" x14ac:dyDescent="0.35">
      <c r="A705" s="17" t="s">
        <v>57</v>
      </c>
      <c r="C705"/>
      <c r="D705" s="240" t="s">
        <v>1</v>
      </c>
      <c r="E705" s="241"/>
      <c r="F705" s="241"/>
      <c r="G705" s="291"/>
      <c r="H705" s="292" t="s">
        <v>2</v>
      </c>
      <c r="I705" s="241"/>
      <c r="J705" s="291"/>
      <c r="K705" s="292" t="s">
        <v>3</v>
      </c>
      <c r="L705" s="241"/>
      <c r="M705" s="241"/>
      <c r="N705" s="241" t="s">
        <v>58</v>
      </c>
      <c r="O705" s="241"/>
      <c r="P705" s="291"/>
      <c r="Q705" s="293" t="s">
        <v>13</v>
      </c>
      <c r="R705" s="293"/>
      <c r="S705" s="294"/>
    </row>
    <row r="706" spans="1:22" ht="26.25" customHeight="1" x14ac:dyDescent="0.35">
      <c r="A706" s="17" t="s">
        <v>57</v>
      </c>
      <c r="C706"/>
      <c r="D706" s="229" t="e">
        <f>$D$4</f>
        <v>#REF!</v>
      </c>
      <c r="E706" s="230"/>
      <c r="F706" s="230"/>
      <c r="G706" s="230"/>
      <c r="H706" s="231" t="e">
        <f>$F$4</f>
        <v>#REF!</v>
      </c>
      <c r="I706" s="230"/>
      <c r="J706" s="232"/>
      <c r="K706" s="233" t="str">
        <f ca="1">OFFSET($G$7,2*(D703+1)-1,0)</f>
        <v>N</v>
      </c>
      <c r="L706" s="234"/>
      <c r="M706" s="235"/>
      <c r="N706" s="236" t="s">
        <v>6</v>
      </c>
      <c r="O706" s="237"/>
      <c r="P706" s="238"/>
      <c r="Q706" s="236" t="s">
        <v>6</v>
      </c>
      <c r="R706" s="237"/>
      <c r="S706" s="239"/>
    </row>
    <row r="707" spans="1:22" ht="26.5" thickBot="1" x14ac:dyDescent="0.4">
      <c r="A707" s="17" t="s">
        <v>57</v>
      </c>
      <c r="C707"/>
      <c r="D707" s="240" t="s">
        <v>7</v>
      </c>
      <c r="E707" s="241"/>
      <c r="F707" s="241"/>
      <c r="G707" s="241"/>
      <c r="H707" s="241"/>
      <c r="I707" s="241"/>
      <c r="J707" s="241"/>
      <c r="K707" s="241"/>
      <c r="L707" s="241"/>
      <c r="M707" s="241"/>
      <c r="N707" s="241"/>
      <c r="O707" s="241"/>
      <c r="P707" s="241"/>
      <c r="Q707" s="241"/>
      <c r="R707" s="241"/>
      <c r="S707" s="242"/>
    </row>
    <row r="708" spans="1:22" ht="26" x14ac:dyDescent="0.35">
      <c r="A708" s="17" t="s">
        <v>57</v>
      </c>
      <c r="C708"/>
      <c r="D708" s="224" t="s">
        <v>59</v>
      </c>
      <c r="E708" s="225"/>
      <c r="F708" s="225"/>
      <c r="G708" s="225"/>
      <c r="H708" s="225"/>
      <c r="I708" s="225"/>
      <c r="J708" s="225"/>
      <c r="K708" s="225"/>
      <c r="L708" s="225"/>
      <c r="M708" s="225"/>
      <c r="N708" s="225"/>
      <c r="O708" s="225"/>
      <c r="P708" s="225"/>
      <c r="Q708" s="225"/>
      <c r="R708" s="225"/>
      <c r="S708" s="226"/>
      <c r="U708" s="391" t="s">
        <v>16</v>
      </c>
      <c r="V708" s="392"/>
    </row>
    <row r="709" spans="1:22" ht="27" customHeight="1" thickBot="1" x14ac:dyDescent="0.4">
      <c r="A709" s="17" t="s">
        <v>57</v>
      </c>
      <c r="C709"/>
      <c r="D709" s="92" t="s">
        <v>60</v>
      </c>
      <c r="E709" s="227" t="s">
        <v>61</v>
      </c>
      <c r="F709" s="228"/>
      <c r="G709" s="93" t="s">
        <v>11</v>
      </c>
      <c r="H709" s="94" t="s">
        <v>62</v>
      </c>
      <c r="I709" s="94" t="s">
        <v>63</v>
      </c>
      <c r="J709" s="94" t="s">
        <v>64</v>
      </c>
      <c r="K709" s="94" t="s">
        <v>65</v>
      </c>
      <c r="L709" s="94" t="s">
        <v>66</v>
      </c>
      <c r="M709" s="94" t="s">
        <v>67</v>
      </c>
      <c r="N709" s="94" t="s">
        <v>68</v>
      </c>
      <c r="O709" s="94" t="s">
        <v>69</v>
      </c>
      <c r="P709" s="94" t="s">
        <v>70</v>
      </c>
      <c r="Q709" s="94" t="s">
        <v>71</v>
      </c>
      <c r="R709" s="94" t="s">
        <v>72</v>
      </c>
      <c r="S709" s="95" t="s">
        <v>73</v>
      </c>
      <c r="U709" s="287" t="s">
        <v>74</v>
      </c>
      <c r="V709" s="288"/>
    </row>
    <row r="710" spans="1:22" ht="15.75" customHeight="1" thickBot="1" x14ac:dyDescent="0.4">
      <c r="A710" s="8" t="s">
        <v>75</v>
      </c>
      <c r="C710"/>
      <c r="D710" s="250" t="s">
        <v>76</v>
      </c>
      <c r="E710" s="96" t="s">
        <v>77</v>
      </c>
      <c r="F710" s="97" t="s">
        <v>78</v>
      </c>
      <c r="G710" s="65"/>
      <c r="H710" s="66"/>
      <c r="I710" s="67"/>
      <c r="J710" s="67"/>
      <c r="K710" s="67"/>
      <c r="L710" s="67"/>
      <c r="M710" s="68"/>
      <c r="N710" s="68"/>
      <c r="O710" s="68"/>
      <c r="P710" s="68"/>
      <c r="Q710" s="68"/>
      <c r="R710" s="68"/>
      <c r="S710" s="69"/>
      <c r="U710" s="289"/>
      <c r="V710" s="290"/>
    </row>
    <row r="711" spans="1:22" ht="15" thickBot="1" x14ac:dyDescent="0.4">
      <c r="A711" s="8" t="s">
        <v>75</v>
      </c>
      <c r="C711"/>
      <c r="D711" s="251"/>
      <c r="E711" s="70" t="s">
        <v>79</v>
      </c>
      <c r="F711" s="71" t="s">
        <v>80</v>
      </c>
      <c r="G711" s="72"/>
      <c r="H711" s="73"/>
      <c r="I711" s="74"/>
      <c r="J711" s="74"/>
      <c r="K711" s="74"/>
      <c r="L711" s="74"/>
      <c r="M711" s="75"/>
      <c r="N711" s="75"/>
      <c r="O711" s="75"/>
      <c r="P711" s="75"/>
      <c r="Q711" s="75"/>
      <c r="R711" s="75"/>
      <c r="S711" s="76"/>
      <c r="U711" s="199">
        <v>0</v>
      </c>
      <c r="V711" s="200" t="s">
        <v>21</v>
      </c>
    </row>
    <row r="712" spans="1:22" ht="15" thickBot="1" x14ac:dyDescent="0.4">
      <c r="A712" s="8" t="s">
        <v>75</v>
      </c>
      <c r="C712"/>
      <c r="D712" s="251"/>
      <c r="E712" s="77" t="s">
        <v>81</v>
      </c>
      <c r="F712" s="78" t="s">
        <v>82</v>
      </c>
      <c r="G712" s="79"/>
      <c r="H712" s="80"/>
      <c r="I712" s="81"/>
      <c r="J712" s="81"/>
      <c r="K712" s="81"/>
      <c r="L712" s="81"/>
      <c r="M712" s="82"/>
      <c r="N712" s="83"/>
      <c r="O712" s="83"/>
      <c r="P712" s="83"/>
      <c r="Q712" s="83"/>
      <c r="R712" s="83"/>
      <c r="S712" s="84"/>
      <c r="U712" s="33">
        <v>1</v>
      </c>
      <c r="V712" s="201" t="s">
        <v>22</v>
      </c>
    </row>
    <row r="713" spans="1:22" ht="15" thickBot="1" x14ac:dyDescent="0.4">
      <c r="A713" s="8" t="s">
        <v>75</v>
      </c>
      <c r="C713"/>
      <c r="D713" s="251"/>
      <c r="E713" s="77" t="s">
        <v>83</v>
      </c>
      <c r="F713" s="78" t="s">
        <v>84</v>
      </c>
      <c r="G713" s="79"/>
      <c r="H713" s="80"/>
      <c r="I713" s="81"/>
      <c r="J713" s="81"/>
      <c r="K713" s="81"/>
      <c r="L713" s="81"/>
      <c r="M713" s="83"/>
      <c r="N713" s="83"/>
      <c r="O713" s="83"/>
      <c r="P713" s="83"/>
      <c r="Q713" s="83"/>
      <c r="R713" s="83"/>
      <c r="S713" s="84"/>
      <c r="U713" s="41">
        <v>2</v>
      </c>
      <c r="V713" s="202" t="s">
        <v>25</v>
      </c>
    </row>
    <row r="714" spans="1:22" ht="15" thickBot="1" x14ac:dyDescent="0.4">
      <c r="A714" s="5" t="s">
        <v>75</v>
      </c>
      <c r="C714"/>
      <c r="D714" s="251"/>
      <c r="E714" s="77" t="s">
        <v>85</v>
      </c>
      <c r="F714" s="78" t="s">
        <v>86</v>
      </c>
      <c r="G714" s="79"/>
      <c r="H714" s="80"/>
      <c r="I714" s="81"/>
      <c r="J714" s="81"/>
      <c r="K714" s="81"/>
      <c r="L714" s="81"/>
      <c r="M714" s="83"/>
      <c r="N714" s="83"/>
      <c r="O714" s="83"/>
      <c r="P714" s="83"/>
      <c r="Q714" s="83"/>
      <c r="R714" s="83"/>
      <c r="S714" s="84"/>
      <c r="U714" s="38">
        <v>3</v>
      </c>
      <c r="V714" s="203" t="s">
        <v>26</v>
      </c>
    </row>
    <row r="715" spans="1:22" ht="15" thickBot="1" x14ac:dyDescent="0.4">
      <c r="A715" s="5" t="s">
        <v>75</v>
      </c>
      <c r="C715"/>
      <c r="D715" s="252"/>
      <c r="E715" s="77" t="s">
        <v>87</v>
      </c>
      <c r="F715" s="78" t="s">
        <v>88</v>
      </c>
      <c r="G715" s="79"/>
      <c r="H715" s="80"/>
      <c r="I715" s="81"/>
      <c r="J715" s="81"/>
      <c r="K715" s="81"/>
      <c r="L715" s="81"/>
      <c r="M715" s="83"/>
      <c r="N715" s="83"/>
      <c r="O715" s="83"/>
      <c r="P715" s="83"/>
      <c r="Q715" s="83"/>
      <c r="R715" s="83"/>
      <c r="S715" s="84"/>
      <c r="U715" s="35">
        <v>4</v>
      </c>
      <c r="V715" s="204" t="s">
        <v>29</v>
      </c>
    </row>
    <row r="716" spans="1:22" ht="15" thickBot="1" x14ac:dyDescent="0.4">
      <c r="A716" s="5" t="s">
        <v>75</v>
      </c>
      <c r="C716"/>
      <c r="D716" s="253" t="s">
        <v>37</v>
      </c>
      <c r="E716" s="77" t="s">
        <v>89</v>
      </c>
      <c r="F716" s="78" t="s">
        <v>90</v>
      </c>
      <c r="G716" s="79"/>
      <c r="H716" s="80"/>
      <c r="I716" s="81"/>
      <c r="J716" s="81"/>
      <c r="K716" s="81"/>
      <c r="L716" s="81"/>
      <c r="M716" s="83"/>
      <c r="N716" s="83"/>
      <c r="O716" s="83"/>
      <c r="P716" s="83"/>
      <c r="Q716" s="83"/>
      <c r="R716" s="83"/>
      <c r="S716" s="84"/>
      <c r="U716" s="46">
        <v>5</v>
      </c>
      <c r="V716" s="60" t="s">
        <v>30</v>
      </c>
    </row>
    <row r="717" spans="1:22" ht="15" thickBot="1" x14ac:dyDescent="0.4">
      <c r="A717" s="5" t="s">
        <v>75</v>
      </c>
      <c r="C717"/>
      <c r="D717" s="253"/>
      <c r="E717" s="77" t="s">
        <v>91</v>
      </c>
      <c r="F717" s="78" t="s">
        <v>92</v>
      </c>
      <c r="G717" s="79"/>
      <c r="H717" s="80"/>
      <c r="I717" s="81"/>
      <c r="J717" s="81"/>
      <c r="K717" s="81"/>
      <c r="L717" s="81"/>
      <c r="M717" s="83"/>
      <c r="N717" s="83"/>
      <c r="O717" s="83"/>
      <c r="P717" s="83"/>
      <c r="Q717" s="83"/>
      <c r="R717" s="83"/>
      <c r="S717" s="84"/>
    </row>
    <row r="718" spans="1:22" ht="15.75" customHeight="1" thickBot="1" x14ac:dyDescent="0.4">
      <c r="A718" s="5" t="s">
        <v>75</v>
      </c>
      <c r="C718"/>
      <c r="D718" s="243" t="s">
        <v>93</v>
      </c>
      <c r="E718" s="77" t="s">
        <v>94</v>
      </c>
      <c r="F718" s="78" t="s">
        <v>95</v>
      </c>
      <c r="G718" s="79"/>
      <c r="H718" s="80"/>
      <c r="I718" s="81"/>
      <c r="J718" s="81"/>
      <c r="K718" s="81"/>
      <c r="L718" s="81"/>
      <c r="M718" s="83"/>
      <c r="N718" s="83"/>
      <c r="O718" s="83"/>
      <c r="P718" s="83"/>
      <c r="Q718" s="83"/>
      <c r="R718" s="83"/>
      <c r="S718" s="84"/>
    </row>
    <row r="719" spans="1:22" ht="15" thickBot="1" x14ac:dyDescent="0.4">
      <c r="A719" s="5" t="s">
        <v>75</v>
      </c>
      <c r="C719"/>
      <c r="D719" s="244"/>
      <c r="E719" s="77" t="s">
        <v>96</v>
      </c>
      <c r="F719" s="78" t="s">
        <v>97</v>
      </c>
      <c r="G719" s="79"/>
      <c r="H719" s="80"/>
      <c r="I719" s="81"/>
      <c r="J719" s="81"/>
      <c r="K719" s="81"/>
      <c r="L719" s="81"/>
      <c r="M719" s="83"/>
      <c r="N719" s="83"/>
      <c r="O719" s="83"/>
      <c r="P719" s="83"/>
      <c r="Q719" s="83"/>
      <c r="R719" s="83"/>
      <c r="S719" s="84"/>
    </row>
    <row r="720" spans="1:22" ht="15" thickBot="1" x14ac:dyDescent="0.4">
      <c r="A720" s="5" t="s">
        <v>75</v>
      </c>
      <c r="C720"/>
      <c r="D720" s="245" t="s">
        <v>98</v>
      </c>
      <c r="E720" s="77" t="s">
        <v>99</v>
      </c>
      <c r="F720" s="78" t="s">
        <v>100</v>
      </c>
      <c r="G720" s="79"/>
      <c r="H720" s="80"/>
      <c r="I720" s="81"/>
      <c r="J720" s="81"/>
      <c r="K720" s="81"/>
      <c r="L720" s="81"/>
      <c r="M720" s="83"/>
      <c r="N720" s="83"/>
      <c r="O720" s="83"/>
      <c r="P720" s="83"/>
      <c r="Q720" s="83"/>
      <c r="R720" s="83"/>
      <c r="S720" s="84"/>
    </row>
    <row r="721" spans="1:19" ht="15" thickBot="1" x14ac:dyDescent="0.4">
      <c r="A721" s="5" t="s">
        <v>75</v>
      </c>
      <c r="C721"/>
      <c r="D721" s="246"/>
      <c r="E721" s="77" t="s">
        <v>101</v>
      </c>
      <c r="F721" s="78" t="s">
        <v>102</v>
      </c>
      <c r="G721" s="79"/>
      <c r="H721" s="80"/>
      <c r="I721" s="81"/>
      <c r="J721" s="81"/>
      <c r="K721" s="81"/>
      <c r="L721" s="81"/>
      <c r="M721" s="83"/>
      <c r="N721" s="83"/>
      <c r="O721" s="83"/>
      <c r="P721" s="83"/>
      <c r="Q721" s="83"/>
      <c r="R721" s="83"/>
      <c r="S721" s="84"/>
    </row>
    <row r="722" spans="1:19" ht="15" thickBot="1" x14ac:dyDescent="0.4">
      <c r="A722" s="5" t="s">
        <v>75</v>
      </c>
      <c r="C722"/>
      <c r="D722" s="245" t="s">
        <v>103</v>
      </c>
      <c r="E722" s="77" t="s">
        <v>104</v>
      </c>
      <c r="F722" s="78" t="s">
        <v>105</v>
      </c>
      <c r="G722" s="79"/>
      <c r="H722" s="80"/>
      <c r="I722" s="81"/>
      <c r="J722" s="81"/>
      <c r="K722" s="81"/>
      <c r="L722" s="81"/>
      <c r="M722" s="83"/>
      <c r="N722" s="83"/>
      <c r="O722" s="83"/>
      <c r="P722" s="83"/>
      <c r="Q722" s="83"/>
      <c r="R722" s="83"/>
      <c r="S722" s="84"/>
    </row>
    <row r="723" spans="1:19" ht="15" thickBot="1" x14ac:dyDescent="0.4">
      <c r="A723" s="5" t="s">
        <v>75</v>
      </c>
      <c r="C723"/>
      <c r="D723" s="246"/>
      <c r="E723" s="77" t="s">
        <v>106</v>
      </c>
      <c r="F723" s="78" t="s">
        <v>107</v>
      </c>
      <c r="G723" s="79"/>
      <c r="H723" s="80"/>
      <c r="I723" s="81"/>
      <c r="J723" s="81"/>
      <c r="K723" s="81"/>
      <c r="L723" s="81"/>
      <c r="M723" s="83"/>
      <c r="N723" s="83"/>
      <c r="O723" s="83"/>
      <c r="P723" s="83"/>
      <c r="Q723" s="83"/>
      <c r="R723" s="83"/>
      <c r="S723" s="84"/>
    </row>
    <row r="724" spans="1:19" ht="15" thickBot="1" x14ac:dyDescent="0.4">
      <c r="A724" s="5" t="s">
        <v>75</v>
      </c>
      <c r="C724"/>
      <c r="D724" s="245" t="s">
        <v>108</v>
      </c>
      <c r="E724" s="77" t="s">
        <v>109</v>
      </c>
      <c r="F724" s="78" t="s">
        <v>110</v>
      </c>
      <c r="G724" s="79"/>
      <c r="H724" s="80"/>
      <c r="I724" s="81"/>
      <c r="J724" s="81"/>
      <c r="K724" s="81"/>
      <c r="L724" s="81"/>
      <c r="M724" s="83"/>
      <c r="N724" s="83"/>
      <c r="O724" s="83"/>
      <c r="P724" s="83"/>
      <c r="Q724" s="83"/>
      <c r="R724" s="83"/>
      <c r="S724" s="84"/>
    </row>
    <row r="725" spans="1:19" ht="15" thickBot="1" x14ac:dyDescent="0.4">
      <c r="A725" s="5" t="s">
        <v>75</v>
      </c>
      <c r="C725"/>
      <c r="D725" s="244"/>
      <c r="E725" s="85" t="s">
        <v>111</v>
      </c>
      <c r="F725" s="86" t="s">
        <v>112</v>
      </c>
      <c r="G725" s="87"/>
      <c r="H725" s="88"/>
      <c r="I725" s="89"/>
      <c r="J725" s="89"/>
      <c r="K725" s="89"/>
      <c r="L725" s="89"/>
      <c r="M725" s="90"/>
      <c r="N725" s="90"/>
      <c r="O725" s="90"/>
      <c r="P725" s="90"/>
      <c r="Q725" s="90"/>
      <c r="R725" s="90"/>
      <c r="S725" s="91"/>
    </row>
    <row r="726" spans="1:19" ht="23.25" customHeight="1" thickBot="1" x14ac:dyDescent="0.4">
      <c r="A726" s="5" t="s">
        <v>75</v>
      </c>
      <c r="C726"/>
      <c r="D726" s="98" t="s">
        <v>113</v>
      </c>
      <c r="E726" s="98"/>
      <c r="F726" s="98" t="s">
        <v>114</v>
      </c>
      <c r="G726" s="99"/>
      <c r="H726" s="247" t="s">
        <v>115</v>
      </c>
      <c r="I726" s="248"/>
      <c r="J726" s="248"/>
      <c r="K726" s="248"/>
      <c r="L726" s="248"/>
      <c r="M726" s="248"/>
      <c r="N726" s="248"/>
      <c r="O726" s="249"/>
      <c r="P726" s="247" t="s">
        <v>116</v>
      </c>
      <c r="Q726" s="248"/>
      <c r="R726" s="248" t="s">
        <v>117</v>
      </c>
      <c r="S726" s="249"/>
    </row>
    <row r="727" spans="1:19" ht="12.75" customHeight="1" x14ac:dyDescent="0.35">
      <c r="A727" s="5" t="s">
        <v>75</v>
      </c>
      <c r="C727"/>
      <c r="D727" s="254" t="s">
        <v>118</v>
      </c>
      <c r="E727" s="255"/>
      <c r="F727" s="260" t="s">
        <v>119</v>
      </c>
      <c r="G727" s="255"/>
      <c r="H727" s="260" t="s">
        <v>120</v>
      </c>
      <c r="I727" s="264"/>
      <c r="J727" s="264"/>
      <c r="K727" s="264"/>
      <c r="L727" s="264"/>
      <c r="M727" s="264"/>
      <c r="N727" s="264"/>
      <c r="O727" s="255"/>
      <c r="P727" s="268" t="s">
        <v>11</v>
      </c>
      <c r="Q727" s="282"/>
      <c r="R727" s="268" t="s">
        <v>121</v>
      </c>
      <c r="S727" s="285"/>
    </row>
    <row r="728" spans="1:19" ht="12.75" customHeight="1" x14ac:dyDescent="0.35">
      <c r="A728" s="5" t="s">
        <v>75</v>
      </c>
      <c r="C728"/>
      <c r="D728" s="256"/>
      <c r="E728" s="257"/>
      <c r="F728" s="261"/>
      <c r="G728" s="257"/>
      <c r="H728" s="261"/>
      <c r="I728" s="265"/>
      <c r="J728" s="265"/>
      <c r="K728" s="265"/>
      <c r="L728" s="265"/>
      <c r="M728" s="265"/>
      <c r="N728" s="265"/>
      <c r="O728" s="257"/>
      <c r="P728" s="270"/>
      <c r="Q728" s="283"/>
      <c r="R728" s="270"/>
      <c r="S728" s="280"/>
    </row>
    <row r="729" spans="1:19" ht="12.75" customHeight="1" x14ac:dyDescent="0.35">
      <c r="A729" s="5" t="s">
        <v>75</v>
      </c>
      <c r="C729"/>
      <c r="D729" s="256"/>
      <c r="E729" s="257"/>
      <c r="F729" s="261"/>
      <c r="G729" s="257"/>
      <c r="H729" s="261"/>
      <c r="I729" s="265"/>
      <c r="J729" s="265"/>
      <c r="K729" s="265"/>
      <c r="L729" s="265"/>
      <c r="M729" s="265"/>
      <c r="N729" s="265"/>
      <c r="O729" s="257"/>
      <c r="P729" s="270"/>
      <c r="Q729" s="283"/>
      <c r="R729" s="270"/>
      <c r="S729" s="280"/>
    </row>
    <row r="730" spans="1:19" ht="12.75" customHeight="1" thickBot="1" x14ac:dyDescent="0.4">
      <c r="A730" s="5" t="s">
        <v>75</v>
      </c>
      <c r="C730"/>
      <c r="D730" s="258"/>
      <c r="E730" s="259"/>
      <c r="F730" s="262"/>
      <c r="G730" s="263"/>
      <c r="H730" s="266"/>
      <c r="I730" s="267"/>
      <c r="J730" s="267"/>
      <c r="K730" s="267"/>
      <c r="L730" s="267"/>
      <c r="M730" s="267"/>
      <c r="N730" s="267"/>
      <c r="O730" s="259"/>
      <c r="P730" s="272"/>
      <c r="Q730" s="284"/>
      <c r="R730" s="272"/>
      <c r="S730" s="286"/>
    </row>
    <row r="731" spans="1:19" ht="12.75" customHeight="1" x14ac:dyDescent="0.35">
      <c r="A731" s="5" t="s">
        <v>75</v>
      </c>
      <c r="C731"/>
      <c r="D731" s="254" t="s">
        <v>118</v>
      </c>
      <c r="E731" s="255"/>
      <c r="F731" s="260" t="s">
        <v>119</v>
      </c>
      <c r="G731" s="255"/>
      <c r="H731" s="260" t="s">
        <v>120</v>
      </c>
      <c r="I731" s="264"/>
      <c r="J731" s="264"/>
      <c r="K731" s="264"/>
      <c r="L731" s="264"/>
      <c r="M731" s="264"/>
      <c r="N731" s="264"/>
      <c r="O731" s="255"/>
      <c r="P731" s="268" t="s">
        <v>11</v>
      </c>
      <c r="Q731" s="269"/>
      <c r="R731" s="278" t="s">
        <v>121</v>
      </c>
      <c r="S731" s="279"/>
    </row>
    <row r="732" spans="1:19" ht="12.75" customHeight="1" x14ac:dyDescent="0.35">
      <c r="A732" s="5" t="s">
        <v>75</v>
      </c>
      <c r="C732"/>
      <c r="D732" s="256"/>
      <c r="E732" s="257"/>
      <c r="F732" s="261"/>
      <c r="G732" s="257"/>
      <c r="H732" s="261"/>
      <c r="I732" s="265"/>
      <c r="J732" s="265"/>
      <c r="K732" s="265"/>
      <c r="L732" s="265"/>
      <c r="M732" s="265"/>
      <c r="N732" s="265"/>
      <c r="O732" s="257"/>
      <c r="P732" s="270"/>
      <c r="Q732" s="271"/>
      <c r="R732" s="270"/>
      <c r="S732" s="280"/>
    </row>
    <row r="733" spans="1:19" ht="12.75" customHeight="1" x14ac:dyDescent="0.35">
      <c r="A733" s="5" t="s">
        <v>75</v>
      </c>
      <c r="C733"/>
      <c r="D733" s="256"/>
      <c r="E733" s="257"/>
      <c r="F733" s="261"/>
      <c r="G733" s="257"/>
      <c r="H733" s="261"/>
      <c r="I733" s="265"/>
      <c r="J733" s="265"/>
      <c r="K733" s="265"/>
      <c r="L733" s="265"/>
      <c r="M733" s="265"/>
      <c r="N733" s="265"/>
      <c r="O733" s="257"/>
      <c r="P733" s="270"/>
      <c r="Q733" s="271"/>
      <c r="R733" s="270"/>
      <c r="S733" s="280"/>
    </row>
    <row r="734" spans="1:19" ht="12.75" customHeight="1" thickBot="1" x14ac:dyDescent="0.4">
      <c r="A734" s="5" t="s">
        <v>75</v>
      </c>
      <c r="C734"/>
      <c r="D734" s="258"/>
      <c r="E734" s="259"/>
      <c r="F734" s="262"/>
      <c r="G734" s="263"/>
      <c r="H734" s="266"/>
      <c r="I734" s="267"/>
      <c r="J734" s="267"/>
      <c r="K734" s="267"/>
      <c r="L734" s="267"/>
      <c r="M734" s="267"/>
      <c r="N734" s="267"/>
      <c r="O734" s="259"/>
      <c r="P734" s="272"/>
      <c r="Q734" s="273"/>
      <c r="R734" s="272"/>
      <c r="S734" s="286"/>
    </row>
    <row r="735" spans="1:19" ht="12.75" customHeight="1" x14ac:dyDescent="0.35">
      <c r="A735" s="5" t="s">
        <v>75</v>
      </c>
      <c r="C735"/>
      <c r="D735" s="254" t="s">
        <v>118</v>
      </c>
      <c r="E735" s="255"/>
      <c r="F735" s="260" t="s">
        <v>119</v>
      </c>
      <c r="G735" s="255"/>
      <c r="H735" s="260" t="s">
        <v>120</v>
      </c>
      <c r="I735" s="264"/>
      <c r="J735" s="264"/>
      <c r="K735" s="264"/>
      <c r="L735" s="264"/>
      <c r="M735" s="264"/>
      <c r="N735" s="264"/>
      <c r="O735" s="255"/>
      <c r="P735" s="268" t="s">
        <v>11</v>
      </c>
      <c r="Q735" s="269"/>
      <c r="R735" s="278" t="s">
        <v>121</v>
      </c>
      <c r="S735" s="279"/>
    </row>
    <row r="736" spans="1:19" ht="12.75" customHeight="1" x14ac:dyDescent="0.35">
      <c r="A736" s="5" t="s">
        <v>75</v>
      </c>
      <c r="C736"/>
      <c r="D736" s="256"/>
      <c r="E736" s="257"/>
      <c r="F736" s="261"/>
      <c r="G736" s="257"/>
      <c r="H736" s="261"/>
      <c r="I736" s="265"/>
      <c r="J736" s="265"/>
      <c r="K736" s="265"/>
      <c r="L736" s="265"/>
      <c r="M736" s="265"/>
      <c r="N736" s="265"/>
      <c r="O736" s="257"/>
      <c r="P736" s="270"/>
      <c r="Q736" s="271"/>
      <c r="R736" s="270"/>
      <c r="S736" s="280"/>
    </row>
    <row r="737" spans="1:19" ht="12.75" customHeight="1" x14ac:dyDescent="0.35">
      <c r="A737" s="5" t="s">
        <v>75</v>
      </c>
      <c r="C737"/>
      <c r="D737" s="256"/>
      <c r="E737" s="257"/>
      <c r="F737" s="261"/>
      <c r="G737" s="257"/>
      <c r="H737" s="261"/>
      <c r="I737" s="265"/>
      <c r="J737" s="265"/>
      <c r="K737" s="265"/>
      <c r="L737" s="265"/>
      <c r="M737" s="265"/>
      <c r="N737" s="265"/>
      <c r="O737" s="257"/>
      <c r="P737" s="270"/>
      <c r="Q737" s="271"/>
      <c r="R737" s="270"/>
      <c r="S737" s="280"/>
    </row>
    <row r="738" spans="1:19" ht="12.75" customHeight="1" thickBot="1" x14ac:dyDescent="0.4">
      <c r="A738" s="5" t="s">
        <v>75</v>
      </c>
      <c r="C738"/>
      <c r="D738" s="274"/>
      <c r="E738" s="263"/>
      <c r="F738" s="262"/>
      <c r="G738" s="263"/>
      <c r="H738" s="262"/>
      <c r="I738" s="275"/>
      <c r="J738" s="275"/>
      <c r="K738" s="275"/>
      <c r="L738" s="275"/>
      <c r="M738" s="275"/>
      <c r="N738" s="275"/>
      <c r="O738" s="263"/>
      <c r="P738" s="276"/>
      <c r="Q738" s="277"/>
      <c r="R738" s="276"/>
      <c r="S738" s="281"/>
    </row>
    <row r="753" spans="1:22" ht="23" thickBot="1" x14ac:dyDescent="0.5">
      <c r="C753"/>
      <c r="D753" s="11">
        <f>D703+1</f>
        <v>15</v>
      </c>
      <c r="E753" s="11"/>
      <c r="F753" s="14"/>
      <c r="G753" s="14"/>
      <c r="H753" s="14"/>
      <c r="I753" s="14"/>
      <c r="J753" s="14"/>
      <c r="K753" s="14"/>
      <c r="L753" s="14"/>
      <c r="M753" s="14"/>
      <c r="N753" s="14"/>
      <c r="O753" s="14"/>
      <c r="P753" s="14"/>
      <c r="Q753" s="14"/>
      <c r="R753" s="14"/>
      <c r="S753" s="14"/>
    </row>
    <row r="754" spans="1:22" ht="30" customHeight="1" thickBot="1" x14ac:dyDescent="0.4">
      <c r="A754" s="17" t="s">
        <v>57</v>
      </c>
      <c r="C754"/>
      <c r="D754" s="295" t="e">
        <f ca="1">"Hoshin Implementation Plan "&amp;#REF!&amp;"   -   Must Win Battle / Strategy:   "&amp;$L$2</f>
        <v>#REF!</v>
      </c>
      <c r="E754" s="296"/>
      <c r="F754" s="296"/>
      <c r="G754" s="297"/>
      <c r="H754" s="298" t="e">
        <f ca="1">"Work Stream:   "&amp;OFFSET($E$7,2*(D753+1)-1,0)&amp;" - "&amp;OFFSET($F$7,2*(D753+1)-1,0)</f>
        <v>#NAME?</v>
      </c>
      <c r="I754" s="296"/>
      <c r="J754" s="296"/>
      <c r="K754" s="296"/>
      <c r="L754" s="296"/>
      <c r="M754" s="296"/>
      <c r="N754" s="296"/>
      <c r="O754" s="296"/>
      <c r="P754" s="296"/>
      <c r="Q754" s="296"/>
      <c r="R754" s="296"/>
      <c r="S754" s="299"/>
    </row>
    <row r="755" spans="1:22" ht="26" x14ac:dyDescent="0.35">
      <c r="A755" s="17" t="s">
        <v>57</v>
      </c>
      <c r="C755"/>
      <c r="D755" s="240" t="s">
        <v>1</v>
      </c>
      <c r="E755" s="241"/>
      <c r="F755" s="241"/>
      <c r="G755" s="291"/>
      <c r="H755" s="292" t="s">
        <v>2</v>
      </c>
      <c r="I755" s="241"/>
      <c r="J755" s="291"/>
      <c r="K755" s="292" t="s">
        <v>3</v>
      </c>
      <c r="L755" s="241"/>
      <c r="M755" s="241"/>
      <c r="N755" s="241" t="s">
        <v>58</v>
      </c>
      <c r="O755" s="241"/>
      <c r="P755" s="291"/>
      <c r="Q755" s="293" t="s">
        <v>13</v>
      </c>
      <c r="R755" s="293"/>
      <c r="S755" s="294"/>
    </row>
    <row r="756" spans="1:22" ht="26.25" customHeight="1" x14ac:dyDescent="0.35">
      <c r="A756" s="17" t="s">
        <v>57</v>
      </c>
      <c r="C756"/>
      <c r="D756" s="229" t="e">
        <f>$D$4</f>
        <v>#REF!</v>
      </c>
      <c r="E756" s="230"/>
      <c r="F756" s="230"/>
      <c r="G756" s="230"/>
      <c r="H756" s="231" t="e">
        <f>$F$4</f>
        <v>#REF!</v>
      </c>
      <c r="I756" s="230"/>
      <c r="J756" s="232"/>
      <c r="K756" s="233" t="str">
        <f ca="1">OFFSET($G$7,2*(D753+1)-1,0)</f>
        <v>O</v>
      </c>
      <c r="L756" s="234"/>
      <c r="M756" s="235"/>
      <c r="N756" s="236" t="s">
        <v>6</v>
      </c>
      <c r="O756" s="237"/>
      <c r="P756" s="238"/>
      <c r="Q756" s="236" t="s">
        <v>6</v>
      </c>
      <c r="R756" s="237"/>
      <c r="S756" s="239"/>
    </row>
    <row r="757" spans="1:22" ht="26.5" thickBot="1" x14ac:dyDescent="0.4">
      <c r="A757" s="17" t="s">
        <v>57</v>
      </c>
      <c r="C757"/>
      <c r="D757" s="240" t="s">
        <v>7</v>
      </c>
      <c r="E757" s="241"/>
      <c r="F757" s="241"/>
      <c r="G757" s="241"/>
      <c r="H757" s="241"/>
      <c r="I757" s="241"/>
      <c r="J757" s="241"/>
      <c r="K757" s="241"/>
      <c r="L757" s="241"/>
      <c r="M757" s="241"/>
      <c r="N757" s="241"/>
      <c r="O757" s="241"/>
      <c r="P757" s="241"/>
      <c r="Q757" s="241"/>
      <c r="R757" s="241"/>
      <c r="S757" s="242"/>
    </row>
    <row r="758" spans="1:22" ht="26" x14ac:dyDescent="0.35">
      <c r="A758" s="17" t="s">
        <v>57</v>
      </c>
      <c r="C758"/>
      <c r="D758" s="224" t="s">
        <v>59</v>
      </c>
      <c r="E758" s="225"/>
      <c r="F758" s="225"/>
      <c r="G758" s="225"/>
      <c r="H758" s="225"/>
      <c r="I758" s="225"/>
      <c r="J758" s="225"/>
      <c r="K758" s="225"/>
      <c r="L758" s="225"/>
      <c r="M758" s="225"/>
      <c r="N758" s="225"/>
      <c r="O758" s="225"/>
      <c r="P758" s="225"/>
      <c r="Q758" s="225"/>
      <c r="R758" s="225"/>
      <c r="S758" s="226"/>
      <c r="U758" s="391" t="s">
        <v>16</v>
      </c>
      <c r="V758" s="392"/>
    </row>
    <row r="759" spans="1:22" ht="27" customHeight="1" thickBot="1" x14ac:dyDescent="0.4">
      <c r="A759" s="17" t="s">
        <v>57</v>
      </c>
      <c r="C759"/>
      <c r="D759" s="92" t="s">
        <v>60</v>
      </c>
      <c r="E759" s="227" t="s">
        <v>61</v>
      </c>
      <c r="F759" s="228"/>
      <c r="G759" s="93" t="s">
        <v>11</v>
      </c>
      <c r="H759" s="94" t="s">
        <v>62</v>
      </c>
      <c r="I759" s="94" t="s">
        <v>63</v>
      </c>
      <c r="J759" s="94" t="s">
        <v>64</v>
      </c>
      <c r="K759" s="94" t="s">
        <v>65</v>
      </c>
      <c r="L759" s="94" t="s">
        <v>66</v>
      </c>
      <c r="M759" s="94" t="s">
        <v>67</v>
      </c>
      <c r="N759" s="94" t="s">
        <v>68</v>
      </c>
      <c r="O759" s="94" t="s">
        <v>69</v>
      </c>
      <c r="P759" s="94" t="s">
        <v>70</v>
      </c>
      <c r="Q759" s="94" t="s">
        <v>71</v>
      </c>
      <c r="R759" s="94" t="s">
        <v>72</v>
      </c>
      <c r="S759" s="95" t="s">
        <v>73</v>
      </c>
      <c r="U759" s="287" t="s">
        <v>74</v>
      </c>
      <c r="V759" s="288"/>
    </row>
    <row r="760" spans="1:22" ht="15.75" customHeight="1" thickBot="1" x14ac:dyDescent="0.4">
      <c r="A760" s="8" t="s">
        <v>75</v>
      </c>
      <c r="C760"/>
      <c r="D760" s="250" t="s">
        <v>76</v>
      </c>
      <c r="E760" s="96" t="s">
        <v>77</v>
      </c>
      <c r="F760" s="97" t="s">
        <v>78</v>
      </c>
      <c r="G760" s="65"/>
      <c r="H760" s="66"/>
      <c r="I760" s="67"/>
      <c r="J760" s="67"/>
      <c r="K760" s="67"/>
      <c r="L760" s="67"/>
      <c r="M760" s="68"/>
      <c r="N760" s="68"/>
      <c r="O760" s="68"/>
      <c r="P760" s="68"/>
      <c r="Q760" s="68"/>
      <c r="R760" s="68"/>
      <c r="S760" s="69"/>
      <c r="U760" s="289"/>
      <c r="V760" s="290"/>
    </row>
    <row r="761" spans="1:22" ht="15" thickBot="1" x14ac:dyDescent="0.4">
      <c r="A761" s="8" t="s">
        <v>75</v>
      </c>
      <c r="C761"/>
      <c r="D761" s="251"/>
      <c r="E761" s="70" t="s">
        <v>79</v>
      </c>
      <c r="F761" s="71" t="s">
        <v>80</v>
      </c>
      <c r="G761" s="72"/>
      <c r="H761" s="73"/>
      <c r="I761" s="74"/>
      <c r="J761" s="74"/>
      <c r="K761" s="74"/>
      <c r="L761" s="74"/>
      <c r="M761" s="75"/>
      <c r="N761" s="75"/>
      <c r="O761" s="75"/>
      <c r="P761" s="75"/>
      <c r="Q761" s="75"/>
      <c r="R761" s="75"/>
      <c r="S761" s="76"/>
      <c r="U761" s="199">
        <v>0</v>
      </c>
      <c r="V761" s="200" t="s">
        <v>21</v>
      </c>
    </row>
    <row r="762" spans="1:22" ht="15" thickBot="1" x14ac:dyDescent="0.4">
      <c r="A762" s="8" t="s">
        <v>75</v>
      </c>
      <c r="C762"/>
      <c r="D762" s="251"/>
      <c r="E762" s="77" t="s">
        <v>81</v>
      </c>
      <c r="F762" s="78" t="s">
        <v>82</v>
      </c>
      <c r="G762" s="79"/>
      <c r="H762" s="80"/>
      <c r="I762" s="81"/>
      <c r="J762" s="81"/>
      <c r="K762" s="81"/>
      <c r="L762" s="81"/>
      <c r="M762" s="82"/>
      <c r="N762" s="83"/>
      <c r="O762" s="83"/>
      <c r="P762" s="83"/>
      <c r="Q762" s="83"/>
      <c r="R762" s="83"/>
      <c r="S762" s="84"/>
      <c r="U762" s="33">
        <v>1</v>
      </c>
      <c r="V762" s="201" t="s">
        <v>22</v>
      </c>
    </row>
    <row r="763" spans="1:22" ht="15" thickBot="1" x14ac:dyDescent="0.4">
      <c r="A763" s="8" t="s">
        <v>75</v>
      </c>
      <c r="C763"/>
      <c r="D763" s="251"/>
      <c r="E763" s="77" t="s">
        <v>83</v>
      </c>
      <c r="F763" s="78" t="s">
        <v>84</v>
      </c>
      <c r="G763" s="79"/>
      <c r="H763" s="80"/>
      <c r="I763" s="81"/>
      <c r="J763" s="81"/>
      <c r="K763" s="81"/>
      <c r="L763" s="81"/>
      <c r="M763" s="83"/>
      <c r="N763" s="83"/>
      <c r="O763" s="83"/>
      <c r="P763" s="83"/>
      <c r="Q763" s="83"/>
      <c r="R763" s="83"/>
      <c r="S763" s="84"/>
      <c r="U763" s="41">
        <v>2</v>
      </c>
      <c r="V763" s="202" t="s">
        <v>25</v>
      </c>
    </row>
    <row r="764" spans="1:22" ht="15" thickBot="1" x14ac:dyDescent="0.4">
      <c r="A764" s="5" t="s">
        <v>75</v>
      </c>
      <c r="C764"/>
      <c r="D764" s="251"/>
      <c r="E764" s="77" t="s">
        <v>85</v>
      </c>
      <c r="F764" s="78" t="s">
        <v>86</v>
      </c>
      <c r="G764" s="79"/>
      <c r="H764" s="80"/>
      <c r="I764" s="81"/>
      <c r="J764" s="81"/>
      <c r="K764" s="81"/>
      <c r="L764" s="81"/>
      <c r="M764" s="83"/>
      <c r="N764" s="83"/>
      <c r="O764" s="83"/>
      <c r="P764" s="83"/>
      <c r="Q764" s="83"/>
      <c r="R764" s="83"/>
      <c r="S764" s="84"/>
      <c r="U764" s="38">
        <v>3</v>
      </c>
      <c r="V764" s="203" t="s">
        <v>26</v>
      </c>
    </row>
    <row r="765" spans="1:22" ht="15" thickBot="1" x14ac:dyDescent="0.4">
      <c r="A765" s="5" t="s">
        <v>75</v>
      </c>
      <c r="C765"/>
      <c r="D765" s="252"/>
      <c r="E765" s="77" t="s">
        <v>87</v>
      </c>
      <c r="F765" s="78" t="s">
        <v>88</v>
      </c>
      <c r="G765" s="79"/>
      <c r="H765" s="80"/>
      <c r="I765" s="81"/>
      <c r="J765" s="81"/>
      <c r="K765" s="81"/>
      <c r="L765" s="81"/>
      <c r="M765" s="83"/>
      <c r="N765" s="83"/>
      <c r="O765" s="83"/>
      <c r="P765" s="83"/>
      <c r="Q765" s="83"/>
      <c r="R765" s="83"/>
      <c r="S765" s="84"/>
      <c r="U765" s="35">
        <v>4</v>
      </c>
      <c r="V765" s="204" t="s">
        <v>29</v>
      </c>
    </row>
    <row r="766" spans="1:22" ht="15" thickBot="1" x14ac:dyDescent="0.4">
      <c r="A766" s="5" t="s">
        <v>75</v>
      </c>
      <c r="C766"/>
      <c r="D766" s="253" t="s">
        <v>37</v>
      </c>
      <c r="E766" s="77" t="s">
        <v>89</v>
      </c>
      <c r="F766" s="78" t="s">
        <v>90</v>
      </c>
      <c r="G766" s="79"/>
      <c r="H766" s="80"/>
      <c r="I766" s="81"/>
      <c r="J766" s="81"/>
      <c r="K766" s="81"/>
      <c r="L766" s="81"/>
      <c r="M766" s="83"/>
      <c r="N766" s="83"/>
      <c r="O766" s="83"/>
      <c r="P766" s="83"/>
      <c r="Q766" s="83"/>
      <c r="R766" s="83"/>
      <c r="S766" s="84"/>
      <c r="U766" s="46">
        <v>5</v>
      </c>
      <c r="V766" s="60" t="s">
        <v>30</v>
      </c>
    </row>
    <row r="767" spans="1:22" ht="15" thickBot="1" x14ac:dyDescent="0.4">
      <c r="A767" s="5" t="s">
        <v>75</v>
      </c>
      <c r="C767"/>
      <c r="D767" s="253"/>
      <c r="E767" s="77" t="s">
        <v>91</v>
      </c>
      <c r="F767" s="78" t="s">
        <v>92</v>
      </c>
      <c r="G767" s="79"/>
      <c r="H767" s="80"/>
      <c r="I767" s="81"/>
      <c r="J767" s="81"/>
      <c r="K767" s="81"/>
      <c r="L767" s="81"/>
      <c r="M767" s="83"/>
      <c r="N767" s="83"/>
      <c r="O767" s="83"/>
      <c r="P767" s="83"/>
      <c r="Q767" s="83"/>
      <c r="R767" s="83"/>
      <c r="S767" s="84"/>
    </row>
    <row r="768" spans="1:22" ht="15.75" customHeight="1" thickBot="1" x14ac:dyDescent="0.4">
      <c r="A768" s="5" t="s">
        <v>75</v>
      </c>
      <c r="C768"/>
      <c r="D768" s="243" t="s">
        <v>93</v>
      </c>
      <c r="E768" s="77" t="s">
        <v>94</v>
      </c>
      <c r="F768" s="78" t="s">
        <v>95</v>
      </c>
      <c r="G768" s="79"/>
      <c r="H768" s="80"/>
      <c r="I768" s="81"/>
      <c r="J768" s="81"/>
      <c r="K768" s="81"/>
      <c r="L768" s="81"/>
      <c r="M768" s="83"/>
      <c r="N768" s="83"/>
      <c r="O768" s="83"/>
      <c r="P768" s="83"/>
      <c r="Q768" s="83"/>
      <c r="R768" s="83"/>
      <c r="S768" s="84"/>
    </row>
    <row r="769" spans="1:19" ht="15" thickBot="1" x14ac:dyDescent="0.4">
      <c r="A769" s="5" t="s">
        <v>75</v>
      </c>
      <c r="C769"/>
      <c r="D769" s="244"/>
      <c r="E769" s="77" t="s">
        <v>96</v>
      </c>
      <c r="F769" s="78" t="s">
        <v>97</v>
      </c>
      <c r="G769" s="79"/>
      <c r="H769" s="80"/>
      <c r="I769" s="81"/>
      <c r="J769" s="81"/>
      <c r="K769" s="81"/>
      <c r="L769" s="81"/>
      <c r="M769" s="83"/>
      <c r="N769" s="83"/>
      <c r="O769" s="83"/>
      <c r="P769" s="83"/>
      <c r="Q769" s="83"/>
      <c r="R769" s="83"/>
      <c r="S769" s="84"/>
    </row>
    <row r="770" spans="1:19" ht="15" thickBot="1" x14ac:dyDescent="0.4">
      <c r="A770" s="5" t="s">
        <v>75</v>
      </c>
      <c r="C770"/>
      <c r="D770" s="245" t="s">
        <v>98</v>
      </c>
      <c r="E770" s="77" t="s">
        <v>99</v>
      </c>
      <c r="F770" s="78" t="s">
        <v>100</v>
      </c>
      <c r="G770" s="79"/>
      <c r="H770" s="80"/>
      <c r="I770" s="81"/>
      <c r="J770" s="81"/>
      <c r="K770" s="81"/>
      <c r="L770" s="81"/>
      <c r="M770" s="83"/>
      <c r="N770" s="83"/>
      <c r="O770" s="83"/>
      <c r="P770" s="83"/>
      <c r="Q770" s="83"/>
      <c r="R770" s="83"/>
      <c r="S770" s="84"/>
    </row>
    <row r="771" spans="1:19" ht="15" thickBot="1" x14ac:dyDescent="0.4">
      <c r="A771" s="5" t="s">
        <v>75</v>
      </c>
      <c r="C771"/>
      <c r="D771" s="246"/>
      <c r="E771" s="77" t="s">
        <v>101</v>
      </c>
      <c r="F771" s="78" t="s">
        <v>102</v>
      </c>
      <c r="G771" s="79"/>
      <c r="H771" s="80"/>
      <c r="I771" s="81"/>
      <c r="J771" s="81"/>
      <c r="K771" s="81"/>
      <c r="L771" s="81"/>
      <c r="M771" s="83"/>
      <c r="N771" s="83"/>
      <c r="O771" s="83"/>
      <c r="P771" s="83"/>
      <c r="Q771" s="83"/>
      <c r="R771" s="83"/>
      <c r="S771" s="84"/>
    </row>
    <row r="772" spans="1:19" ht="15" thickBot="1" x14ac:dyDescent="0.4">
      <c r="A772" s="5" t="s">
        <v>75</v>
      </c>
      <c r="C772"/>
      <c r="D772" s="245" t="s">
        <v>103</v>
      </c>
      <c r="E772" s="77" t="s">
        <v>104</v>
      </c>
      <c r="F772" s="78" t="s">
        <v>105</v>
      </c>
      <c r="G772" s="79"/>
      <c r="H772" s="80"/>
      <c r="I772" s="81"/>
      <c r="J772" s="81"/>
      <c r="K772" s="81"/>
      <c r="L772" s="81"/>
      <c r="M772" s="83"/>
      <c r="N772" s="83"/>
      <c r="O772" s="83"/>
      <c r="P772" s="83"/>
      <c r="Q772" s="83"/>
      <c r="R772" s="83"/>
      <c r="S772" s="84"/>
    </row>
    <row r="773" spans="1:19" ht="15" thickBot="1" x14ac:dyDescent="0.4">
      <c r="A773" s="5" t="s">
        <v>75</v>
      </c>
      <c r="C773"/>
      <c r="D773" s="246"/>
      <c r="E773" s="77" t="s">
        <v>106</v>
      </c>
      <c r="F773" s="78" t="s">
        <v>107</v>
      </c>
      <c r="G773" s="79"/>
      <c r="H773" s="80"/>
      <c r="I773" s="81"/>
      <c r="J773" s="81"/>
      <c r="K773" s="81"/>
      <c r="L773" s="81"/>
      <c r="M773" s="83"/>
      <c r="N773" s="83"/>
      <c r="O773" s="83"/>
      <c r="P773" s="83"/>
      <c r="Q773" s="83"/>
      <c r="R773" s="83"/>
      <c r="S773" s="84"/>
    </row>
    <row r="774" spans="1:19" ht="15" thickBot="1" x14ac:dyDescent="0.4">
      <c r="A774" s="5" t="s">
        <v>75</v>
      </c>
      <c r="C774"/>
      <c r="D774" s="245" t="s">
        <v>108</v>
      </c>
      <c r="E774" s="77" t="s">
        <v>109</v>
      </c>
      <c r="F774" s="78" t="s">
        <v>110</v>
      </c>
      <c r="G774" s="79"/>
      <c r="H774" s="80"/>
      <c r="I774" s="81"/>
      <c r="J774" s="81"/>
      <c r="K774" s="81"/>
      <c r="L774" s="81"/>
      <c r="M774" s="83"/>
      <c r="N774" s="83"/>
      <c r="O774" s="83"/>
      <c r="P774" s="83"/>
      <c r="Q774" s="83"/>
      <c r="R774" s="83"/>
      <c r="S774" s="84"/>
    </row>
    <row r="775" spans="1:19" ht="15" thickBot="1" x14ac:dyDescent="0.4">
      <c r="A775" s="5" t="s">
        <v>75</v>
      </c>
      <c r="C775"/>
      <c r="D775" s="244"/>
      <c r="E775" s="85" t="s">
        <v>111</v>
      </c>
      <c r="F775" s="86" t="s">
        <v>112</v>
      </c>
      <c r="G775" s="87"/>
      <c r="H775" s="88"/>
      <c r="I775" s="89"/>
      <c r="J775" s="89"/>
      <c r="K775" s="89"/>
      <c r="L775" s="89"/>
      <c r="M775" s="90"/>
      <c r="N775" s="90"/>
      <c r="O775" s="90"/>
      <c r="P775" s="90"/>
      <c r="Q775" s="90"/>
      <c r="R775" s="90"/>
      <c r="S775" s="91"/>
    </row>
    <row r="776" spans="1:19" ht="23.25" customHeight="1" thickBot="1" x14ac:dyDescent="0.4">
      <c r="A776" s="5" t="s">
        <v>75</v>
      </c>
      <c r="C776"/>
      <c r="D776" s="98" t="s">
        <v>113</v>
      </c>
      <c r="E776" s="98"/>
      <c r="F776" s="98" t="s">
        <v>114</v>
      </c>
      <c r="G776" s="99"/>
      <c r="H776" s="247" t="s">
        <v>115</v>
      </c>
      <c r="I776" s="248"/>
      <c r="J776" s="248"/>
      <c r="K776" s="248"/>
      <c r="L776" s="248"/>
      <c r="M776" s="248"/>
      <c r="N776" s="248"/>
      <c r="O776" s="249"/>
      <c r="P776" s="247" t="s">
        <v>116</v>
      </c>
      <c r="Q776" s="248"/>
      <c r="R776" s="248" t="s">
        <v>117</v>
      </c>
      <c r="S776" s="249"/>
    </row>
    <row r="777" spans="1:19" ht="12.75" customHeight="1" x14ac:dyDescent="0.35">
      <c r="A777" s="5" t="s">
        <v>75</v>
      </c>
      <c r="C777"/>
      <c r="D777" s="254" t="s">
        <v>118</v>
      </c>
      <c r="E777" s="255"/>
      <c r="F777" s="260" t="s">
        <v>119</v>
      </c>
      <c r="G777" s="255"/>
      <c r="H777" s="260" t="s">
        <v>120</v>
      </c>
      <c r="I777" s="264"/>
      <c r="J777" s="264"/>
      <c r="K777" s="264"/>
      <c r="L777" s="264"/>
      <c r="M777" s="264"/>
      <c r="N777" s="264"/>
      <c r="O777" s="255"/>
      <c r="P777" s="268" t="s">
        <v>11</v>
      </c>
      <c r="Q777" s="282"/>
      <c r="R777" s="268" t="s">
        <v>121</v>
      </c>
      <c r="S777" s="285"/>
    </row>
    <row r="778" spans="1:19" ht="12.75" customHeight="1" x14ac:dyDescent="0.35">
      <c r="A778" s="5" t="s">
        <v>75</v>
      </c>
      <c r="C778"/>
      <c r="D778" s="256"/>
      <c r="E778" s="257"/>
      <c r="F778" s="261"/>
      <c r="G778" s="257"/>
      <c r="H778" s="261"/>
      <c r="I778" s="265"/>
      <c r="J778" s="265"/>
      <c r="K778" s="265"/>
      <c r="L778" s="265"/>
      <c r="M778" s="265"/>
      <c r="N778" s="265"/>
      <c r="O778" s="257"/>
      <c r="P778" s="270"/>
      <c r="Q778" s="283"/>
      <c r="R778" s="270"/>
      <c r="S778" s="280"/>
    </row>
    <row r="779" spans="1:19" ht="12.75" customHeight="1" x14ac:dyDescent="0.35">
      <c r="A779" s="5" t="s">
        <v>75</v>
      </c>
      <c r="C779"/>
      <c r="D779" s="256"/>
      <c r="E779" s="257"/>
      <c r="F779" s="261"/>
      <c r="G779" s="257"/>
      <c r="H779" s="261"/>
      <c r="I779" s="265"/>
      <c r="J779" s="265"/>
      <c r="K779" s="265"/>
      <c r="L779" s="265"/>
      <c r="M779" s="265"/>
      <c r="N779" s="265"/>
      <c r="O779" s="257"/>
      <c r="P779" s="270"/>
      <c r="Q779" s="283"/>
      <c r="R779" s="270"/>
      <c r="S779" s="280"/>
    </row>
    <row r="780" spans="1:19" ht="12.75" customHeight="1" thickBot="1" x14ac:dyDescent="0.4">
      <c r="A780" s="5" t="s">
        <v>75</v>
      </c>
      <c r="C780"/>
      <c r="D780" s="258"/>
      <c r="E780" s="259"/>
      <c r="F780" s="262"/>
      <c r="G780" s="263"/>
      <c r="H780" s="266"/>
      <c r="I780" s="267"/>
      <c r="J780" s="267"/>
      <c r="K780" s="267"/>
      <c r="L780" s="267"/>
      <c r="M780" s="267"/>
      <c r="N780" s="267"/>
      <c r="O780" s="259"/>
      <c r="P780" s="272"/>
      <c r="Q780" s="284"/>
      <c r="R780" s="272"/>
      <c r="S780" s="286"/>
    </row>
    <row r="781" spans="1:19" ht="12.75" customHeight="1" x14ac:dyDescent="0.35">
      <c r="A781" s="5" t="s">
        <v>75</v>
      </c>
      <c r="C781"/>
      <c r="D781" s="254" t="s">
        <v>118</v>
      </c>
      <c r="E781" s="255"/>
      <c r="F781" s="260" t="s">
        <v>119</v>
      </c>
      <c r="G781" s="255"/>
      <c r="H781" s="260" t="s">
        <v>120</v>
      </c>
      <c r="I781" s="264"/>
      <c r="J781" s="264"/>
      <c r="K781" s="264"/>
      <c r="L781" s="264"/>
      <c r="M781" s="264"/>
      <c r="N781" s="264"/>
      <c r="O781" s="255"/>
      <c r="P781" s="268" t="s">
        <v>11</v>
      </c>
      <c r="Q781" s="269"/>
      <c r="R781" s="278" t="s">
        <v>121</v>
      </c>
      <c r="S781" s="279"/>
    </row>
    <row r="782" spans="1:19" ht="12.75" customHeight="1" x14ac:dyDescent="0.35">
      <c r="A782" s="5" t="s">
        <v>75</v>
      </c>
      <c r="C782"/>
      <c r="D782" s="256"/>
      <c r="E782" s="257"/>
      <c r="F782" s="261"/>
      <c r="G782" s="257"/>
      <c r="H782" s="261"/>
      <c r="I782" s="265"/>
      <c r="J782" s="265"/>
      <c r="K782" s="265"/>
      <c r="L782" s="265"/>
      <c r="M782" s="265"/>
      <c r="N782" s="265"/>
      <c r="O782" s="257"/>
      <c r="P782" s="270"/>
      <c r="Q782" s="271"/>
      <c r="R782" s="270"/>
      <c r="S782" s="280"/>
    </row>
    <row r="783" spans="1:19" ht="12.75" customHeight="1" x14ac:dyDescent="0.35">
      <c r="A783" s="5" t="s">
        <v>75</v>
      </c>
      <c r="C783"/>
      <c r="D783" s="256"/>
      <c r="E783" s="257"/>
      <c r="F783" s="261"/>
      <c r="G783" s="257"/>
      <c r="H783" s="261"/>
      <c r="I783" s="265"/>
      <c r="J783" s="265"/>
      <c r="K783" s="265"/>
      <c r="L783" s="265"/>
      <c r="M783" s="265"/>
      <c r="N783" s="265"/>
      <c r="O783" s="257"/>
      <c r="P783" s="270"/>
      <c r="Q783" s="271"/>
      <c r="R783" s="270"/>
      <c r="S783" s="280"/>
    </row>
    <row r="784" spans="1:19" ht="12.75" customHeight="1" thickBot="1" x14ac:dyDescent="0.4">
      <c r="A784" s="5" t="s">
        <v>75</v>
      </c>
      <c r="C784"/>
      <c r="D784" s="258"/>
      <c r="E784" s="259"/>
      <c r="F784" s="262"/>
      <c r="G784" s="263"/>
      <c r="H784" s="266"/>
      <c r="I784" s="267"/>
      <c r="J784" s="267"/>
      <c r="K784" s="267"/>
      <c r="L784" s="267"/>
      <c r="M784" s="267"/>
      <c r="N784" s="267"/>
      <c r="O784" s="259"/>
      <c r="P784" s="272"/>
      <c r="Q784" s="273"/>
      <c r="R784" s="272"/>
      <c r="S784" s="286"/>
    </row>
    <row r="785" spans="1:19" ht="12.75" customHeight="1" x14ac:dyDescent="0.35">
      <c r="A785" s="5" t="s">
        <v>75</v>
      </c>
      <c r="C785"/>
      <c r="D785" s="254" t="s">
        <v>118</v>
      </c>
      <c r="E785" s="255"/>
      <c r="F785" s="260" t="s">
        <v>119</v>
      </c>
      <c r="G785" s="255"/>
      <c r="H785" s="260" t="s">
        <v>120</v>
      </c>
      <c r="I785" s="264"/>
      <c r="J785" s="264"/>
      <c r="K785" s="264"/>
      <c r="L785" s="264"/>
      <c r="M785" s="264"/>
      <c r="N785" s="264"/>
      <c r="O785" s="255"/>
      <c r="P785" s="268" t="s">
        <v>11</v>
      </c>
      <c r="Q785" s="269"/>
      <c r="R785" s="278" t="s">
        <v>121</v>
      </c>
      <c r="S785" s="279"/>
    </row>
    <row r="786" spans="1:19" ht="12.75" customHeight="1" x14ac:dyDescent="0.35">
      <c r="A786" s="5" t="s">
        <v>75</v>
      </c>
      <c r="C786"/>
      <c r="D786" s="256"/>
      <c r="E786" s="257"/>
      <c r="F786" s="261"/>
      <c r="G786" s="257"/>
      <c r="H786" s="261"/>
      <c r="I786" s="265"/>
      <c r="J786" s="265"/>
      <c r="K786" s="265"/>
      <c r="L786" s="265"/>
      <c r="M786" s="265"/>
      <c r="N786" s="265"/>
      <c r="O786" s="257"/>
      <c r="P786" s="270"/>
      <c r="Q786" s="271"/>
      <c r="R786" s="270"/>
      <c r="S786" s="280"/>
    </row>
    <row r="787" spans="1:19" ht="12.75" customHeight="1" x14ac:dyDescent="0.35">
      <c r="A787" s="5" t="s">
        <v>75</v>
      </c>
      <c r="C787"/>
      <c r="D787" s="256"/>
      <c r="E787" s="257"/>
      <c r="F787" s="261"/>
      <c r="G787" s="257"/>
      <c r="H787" s="261"/>
      <c r="I787" s="265"/>
      <c r="J787" s="265"/>
      <c r="K787" s="265"/>
      <c r="L787" s="265"/>
      <c r="M787" s="265"/>
      <c r="N787" s="265"/>
      <c r="O787" s="257"/>
      <c r="P787" s="270"/>
      <c r="Q787" s="271"/>
      <c r="R787" s="270"/>
      <c r="S787" s="280"/>
    </row>
    <row r="788" spans="1:19" ht="12.75" customHeight="1" thickBot="1" x14ac:dyDescent="0.4">
      <c r="A788" s="5" t="s">
        <v>75</v>
      </c>
      <c r="C788"/>
      <c r="D788" s="274"/>
      <c r="E788" s="263"/>
      <c r="F788" s="262"/>
      <c r="G788" s="263"/>
      <c r="H788" s="262"/>
      <c r="I788" s="275"/>
      <c r="J788" s="275"/>
      <c r="K788" s="275"/>
      <c r="L788" s="275"/>
      <c r="M788" s="275"/>
      <c r="N788" s="275"/>
      <c r="O788" s="263"/>
      <c r="P788" s="276"/>
      <c r="Q788" s="277"/>
      <c r="R788" s="276"/>
      <c r="S788" s="281"/>
    </row>
    <row r="789" spans="1:19" x14ac:dyDescent="0.35">
      <c r="A789" s="5" t="s">
        <v>75</v>
      </c>
      <c r="C789"/>
      <c r="D789"/>
      <c r="E789"/>
      <c r="F789"/>
      <c r="G789"/>
      <c r="H789"/>
      <c r="I789"/>
      <c r="J789"/>
      <c r="K789"/>
      <c r="L789"/>
      <c r="M789"/>
      <c r="N789"/>
    </row>
    <row r="790" spans="1:19" x14ac:dyDescent="0.35">
      <c r="A790" s="5" t="s">
        <v>75</v>
      </c>
      <c r="C790"/>
      <c r="D790"/>
      <c r="E790"/>
      <c r="F790"/>
      <c r="G790"/>
      <c r="H790"/>
      <c r="I790"/>
      <c r="J790"/>
      <c r="K790"/>
      <c r="L790"/>
      <c r="M790"/>
      <c r="N790"/>
    </row>
  </sheetData>
  <mergeCells count="753">
    <mergeCell ref="U7:V7"/>
    <mergeCell ref="U8:V9"/>
    <mergeCell ref="D54:G54"/>
    <mergeCell ref="H54:S54"/>
    <mergeCell ref="D104:G104"/>
    <mergeCell ref="H104:S104"/>
    <mergeCell ref="D154:G154"/>
    <mergeCell ref="H154:S154"/>
    <mergeCell ref="D204:G204"/>
    <mergeCell ref="H204:S204"/>
    <mergeCell ref="D8:D21"/>
    <mergeCell ref="Q18:S19"/>
    <mergeCell ref="E20:E21"/>
    <mergeCell ref="F20:F21"/>
    <mergeCell ref="G20:G21"/>
    <mergeCell ref="H20:I21"/>
    <mergeCell ref="J20:K21"/>
    <mergeCell ref="L20:P21"/>
    <mergeCell ref="Q20:S21"/>
    <mergeCell ref="E18:E19"/>
    <mergeCell ref="F18:F19"/>
    <mergeCell ref="G18:G19"/>
    <mergeCell ref="H18:I19"/>
    <mergeCell ref="J18:K19"/>
    <mergeCell ref="D2:F2"/>
    <mergeCell ref="H2:K2"/>
    <mergeCell ref="L2:S2"/>
    <mergeCell ref="D4:E4"/>
    <mergeCell ref="F4:G4"/>
    <mergeCell ref="H4:K4"/>
    <mergeCell ref="L4:O4"/>
    <mergeCell ref="P4:S4"/>
    <mergeCell ref="D5:S5"/>
    <mergeCell ref="D3:E3"/>
    <mergeCell ref="F3:G3"/>
    <mergeCell ref="H3:K3"/>
    <mergeCell ref="L3:O3"/>
    <mergeCell ref="P3:S3"/>
    <mergeCell ref="D6:S6"/>
    <mergeCell ref="H7:I7"/>
    <mergeCell ref="J7:K7"/>
    <mergeCell ref="L7:P7"/>
    <mergeCell ref="Q7:S7"/>
    <mergeCell ref="E10:E11"/>
    <mergeCell ref="F10:F11"/>
    <mergeCell ref="G10:G11"/>
    <mergeCell ref="H10:I11"/>
    <mergeCell ref="J10:K11"/>
    <mergeCell ref="L10:P11"/>
    <mergeCell ref="Q10:S11"/>
    <mergeCell ref="E8:E9"/>
    <mergeCell ref="F8:F9"/>
    <mergeCell ref="G8:G9"/>
    <mergeCell ref="H8:I9"/>
    <mergeCell ref="J8:K9"/>
    <mergeCell ref="L8:P9"/>
    <mergeCell ref="Q8:S9"/>
    <mergeCell ref="L18:P19"/>
    <mergeCell ref="E12:E13"/>
    <mergeCell ref="F12:F13"/>
    <mergeCell ref="G12:G13"/>
    <mergeCell ref="H12:I13"/>
    <mergeCell ref="J12:K13"/>
    <mergeCell ref="L12:P13"/>
    <mergeCell ref="Q12:S13"/>
    <mergeCell ref="E16:E17"/>
    <mergeCell ref="F16:F17"/>
    <mergeCell ref="G16:G17"/>
    <mergeCell ref="H16:I17"/>
    <mergeCell ref="J16:K17"/>
    <mergeCell ref="L16:P17"/>
    <mergeCell ref="Q16:S17"/>
    <mergeCell ref="E14:E15"/>
    <mergeCell ref="F14:F15"/>
    <mergeCell ref="G14:G15"/>
    <mergeCell ref="H14:I15"/>
    <mergeCell ref="J14:K15"/>
    <mergeCell ref="L14:P15"/>
    <mergeCell ref="Q14:S15"/>
    <mergeCell ref="F26:F27"/>
    <mergeCell ref="G26:G27"/>
    <mergeCell ref="H26:I27"/>
    <mergeCell ref="J26:K27"/>
    <mergeCell ref="L26:P27"/>
    <mergeCell ref="Q26:S27"/>
    <mergeCell ref="Q22:S23"/>
    <mergeCell ref="D24:D27"/>
    <mergeCell ref="E24:E25"/>
    <mergeCell ref="F24:F25"/>
    <mergeCell ref="G24:G25"/>
    <mergeCell ref="H24:I25"/>
    <mergeCell ref="J24:K25"/>
    <mergeCell ref="L24:P25"/>
    <mergeCell ref="Q24:S25"/>
    <mergeCell ref="E26:E27"/>
    <mergeCell ref="E22:E23"/>
    <mergeCell ref="F22:F23"/>
    <mergeCell ref="G22:G23"/>
    <mergeCell ref="H22:I23"/>
    <mergeCell ref="J22:K23"/>
    <mergeCell ref="L22:P23"/>
    <mergeCell ref="D32:D35"/>
    <mergeCell ref="E32:E33"/>
    <mergeCell ref="F32:F33"/>
    <mergeCell ref="G32:G33"/>
    <mergeCell ref="H32:I33"/>
    <mergeCell ref="J32:K33"/>
    <mergeCell ref="L28:P29"/>
    <mergeCell ref="Q28:S29"/>
    <mergeCell ref="E30:E31"/>
    <mergeCell ref="F30:F31"/>
    <mergeCell ref="G30:G31"/>
    <mergeCell ref="H30:I31"/>
    <mergeCell ref="J30:K31"/>
    <mergeCell ref="L30:P31"/>
    <mergeCell ref="Q30:S31"/>
    <mergeCell ref="D28:D31"/>
    <mergeCell ref="E28:E29"/>
    <mergeCell ref="F28:F29"/>
    <mergeCell ref="G28:G29"/>
    <mergeCell ref="H28:I29"/>
    <mergeCell ref="J28:K29"/>
    <mergeCell ref="L32:P33"/>
    <mergeCell ref="Q32:S33"/>
    <mergeCell ref="E34:E35"/>
    <mergeCell ref="F34:F35"/>
    <mergeCell ref="G34:G35"/>
    <mergeCell ref="H34:I35"/>
    <mergeCell ref="J34:K35"/>
    <mergeCell ref="L34:P35"/>
    <mergeCell ref="Q34:S35"/>
    <mergeCell ref="D55:G55"/>
    <mergeCell ref="H55:J55"/>
    <mergeCell ref="K55:M55"/>
    <mergeCell ref="N55:P55"/>
    <mergeCell ref="Q55:S55"/>
    <mergeCell ref="L36:P37"/>
    <mergeCell ref="Q36:S37"/>
    <mergeCell ref="E38:E39"/>
    <mergeCell ref="F38:F39"/>
    <mergeCell ref="G38:G39"/>
    <mergeCell ref="H38:I39"/>
    <mergeCell ref="J38:K39"/>
    <mergeCell ref="L38:P39"/>
    <mergeCell ref="Q38:S39"/>
    <mergeCell ref="D36:D39"/>
    <mergeCell ref="E36:E37"/>
    <mergeCell ref="F36:F37"/>
    <mergeCell ref="G36:G37"/>
    <mergeCell ref="H36:I37"/>
    <mergeCell ref="J36:K37"/>
    <mergeCell ref="D58:S58"/>
    <mergeCell ref="U58:V58"/>
    <mergeCell ref="E59:F59"/>
    <mergeCell ref="U59:V60"/>
    <mergeCell ref="D60:D65"/>
    <mergeCell ref="D66:D67"/>
    <mergeCell ref="D56:G56"/>
    <mergeCell ref="H56:J56"/>
    <mergeCell ref="K56:M56"/>
    <mergeCell ref="N56:P56"/>
    <mergeCell ref="Q56:S56"/>
    <mergeCell ref="D57:S57"/>
    <mergeCell ref="R76:S76"/>
    <mergeCell ref="D77:E80"/>
    <mergeCell ref="F77:G80"/>
    <mergeCell ref="H77:O80"/>
    <mergeCell ref="P77:Q80"/>
    <mergeCell ref="R77:S80"/>
    <mergeCell ref="D68:D69"/>
    <mergeCell ref="D70:D71"/>
    <mergeCell ref="D72:D73"/>
    <mergeCell ref="D74:D75"/>
    <mergeCell ref="H76:O76"/>
    <mergeCell ref="P76:Q76"/>
    <mergeCell ref="D105:G105"/>
    <mergeCell ref="H105:J105"/>
    <mergeCell ref="K105:M105"/>
    <mergeCell ref="N105:P105"/>
    <mergeCell ref="Q105:S105"/>
    <mergeCell ref="D81:E84"/>
    <mergeCell ref="F81:G84"/>
    <mergeCell ref="H81:O84"/>
    <mergeCell ref="P81:Q84"/>
    <mergeCell ref="R81:S84"/>
    <mergeCell ref="D85:E88"/>
    <mergeCell ref="F85:G88"/>
    <mergeCell ref="H85:O88"/>
    <mergeCell ref="P85:Q88"/>
    <mergeCell ref="R85:S88"/>
    <mergeCell ref="D108:S108"/>
    <mergeCell ref="U108:V108"/>
    <mergeCell ref="E109:F109"/>
    <mergeCell ref="U109:V110"/>
    <mergeCell ref="D110:D115"/>
    <mergeCell ref="D116:D117"/>
    <mergeCell ref="D106:G106"/>
    <mergeCell ref="H106:J106"/>
    <mergeCell ref="K106:M106"/>
    <mergeCell ref="N106:P106"/>
    <mergeCell ref="Q106:S106"/>
    <mergeCell ref="D107:S107"/>
    <mergeCell ref="R126:S126"/>
    <mergeCell ref="D127:E130"/>
    <mergeCell ref="F127:G130"/>
    <mergeCell ref="H127:O130"/>
    <mergeCell ref="P127:Q130"/>
    <mergeCell ref="R127:S130"/>
    <mergeCell ref="D118:D119"/>
    <mergeCell ref="D120:D121"/>
    <mergeCell ref="D122:D123"/>
    <mergeCell ref="D124:D125"/>
    <mergeCell ref="H126:O126"/>
    <mergeCell ref="P126:Q126"/>
    <mergeCell ref="D155:G155"/>
    <mergeCell ref="H155:J155"/>
    <mergeCell ref="K155:M155"/>
    <mergeCell ref="N155:P155"/>
    <mergeCell ref="Q155:S155"/>
    <mergeCell ref="D131:E134"/>
    <mergeCell ref="F131:G134"/>
    <mergeCell ref="H131:O134"/>
    <mergeCell ref="P131:Q134"/>
    <mergeCell ref="R131:S134"/>
    <mergeCell ref="D135:E138"/>
    <mergeCell ref="F135:G138"/>
    <mergeCell ref="H135:O138"/>
    <mergeCell ref="P135:Q138"/>
    <mergeCell ref="R135:S138"/>
    <mergeCell ref="D158:S158"/>
    <mergeCell ref="U158:V158"/>
    <mergeCell ref="E159:F159"/>
    <mergeCell ref="U159:V160"/>
    <mergeCell ref="D160:D165"/>
    <mergeCell ref="D166:D167"/>
    <mergeCell ref="D156:G156"/>
    <mergeCell ref="H156:J156"/>
    <mergeCell ref="K156:M156"/>
    <mergeCell ref="N156:P156"/>
    <mergeCell ref="Q156:S156"/>
    <mergeCell ref="D157:S157"/>
    <mergeCell ref="R176:S176"/>
    <mergeCell ref="D177:E180"/>
    <mergeCell ref="F177:G180"/>
    <mergeCell ref="H177:O180"/>
    <mergeCell ref="P177:Q180"/>
    <mergeCell ref="R177:S180"/>
    <mergeCell ref="D168:D169"/>
    <mergeCell ref="D170:D171"/>
    <mergeCell ref="D172:D173"/>
    <mergeCell ref="D174:D175"/>
    <mergeCell ref="H176:O176"/>
    <mergeCell ref="P176:Q176"/>
    <mergeCell ref="D205:G205"/>
    <mergeCell ref="H205:J205"/>
    <mergeCell ref="K205:M205"/>
    <mergeCell ref="N205:P205"/>
    <mergeCell ref="Q205:S205"/>
    <mergeCell ref="D181:E184"/>
    <mergeCell ref="F181:G184"/>
    <mergeCell ref="H181:O184"/>
    <mergeCell ref="P181:Q184"/>
    <mergeCell ref="R181:S184"/>
    <mergeCell ref="D185:E188"/>
    <mergeCell ref="F185:G188"/>
    <mergeCell ref="H185:O188"/>
    <mergeCell ref="P185:Q188"/>
    <mergeCell ref="R185:S188"/>
    <mergeCell ref="D208:S208"/>
    <mergeCell ref="U208:V208"/>
    <mergeCell ref="E209:F209"/>
    <mergeCell ref="U209:V210"/>
    <mergeCell ref="D210:D215"/>
    <mergeCell ref="D216:D217"/>
    <mergeCell ref="D206:G206"/>
    <mergeCell ref="H206:J206"/>
    <mergeCell ref="K206:M206"/>
    <mergeCell ref="N206:P206"/>
    <mergeCell ref="Q206:S206"/>
    <mergeCell ref="D207:S207"/>
    <mergeCell ref="R226:S226"/>
    <mergeCell ref="D227:E230"/>
    <mergeCell ref="F227:G230"/>
    <mergeCell ref="H227:O230"/>
    <mergeCell ref="P227:Q230"/>
    <mergeCell ref="R227:S230"/>
    <mergeCell ref="D218:D219"/>
    <mergeCell ref="D220:D221"/>
    <mergeCell ref="D222:D223"/>
    <mergeCell ref="D224:D225"/>
    <mergeCell ref="H226:O226"/>
    <mergeCell ref="P226:Q226"/>
    <mergeCell ref="D255:G255"/>
    <mergeCell ref="H255:J255"/>
    <mergeCell ref="K255:M255"/>
    <mergeCell ref="N255:P255"/>
    <mergeCell ref="Q255:S255"/>
    <mergeCell ref="D231:E234"/>
    <mergeCell ref="F231:G234"/>
    <mergeCell ref="H231:O234"/>
    <mergeCell ref="P231:Q234"/>
    <mergeCell ref="R231:S234"/>
    <mergeCell ref="D235:E238"/>
    <mergeCell ref="F235:G238"/>
    <mergeCell ref="H235:O238"/>
    <mergeCell ref="P235:Q238"/>
    <mergeCell ref="R235:S238"/>
    <mergeCell ref="D254:G254"/>
    <mergeCell ref="H254:S254"/>
    <mergeCell ref="D258:S258"/>
    <mergeCell ref="U258:V258"/>
    <mergeCell ref="E259:F259"/>
    <mergeCell ref="U259:V260"/>
    <mergeCell ref="D260:D265"/>
    <mergeCell ref="D266:D267"/>
    <mergeCell ref="D256:G256"/>
    <mergeCell ref="H256:J256"/>
    <mergeCell ref="K256:M256"/>
    <mergeCell ref="N256:P256"/>
    <mergeCell ref="Q256:S256"/>
    <mergeCell ref="D257:S257"/>
    <mergeCell ref="R276:S276"/>
    <mergeCell ref="D277:E280"/>
    <mergeCell ref="F277:G280"/>
    <mergeCell ref="H277:O280"/>
    <mergeCell ref="P277:Q280"/>
    <mergeCell ref="R277:S280"/>
    <mergeCell ref="D268:D269"/>
    <mergeCell ref="D270:D271"/>
    <mergeCell ref="D272:D273"/>
    <mergeCell ref="D274:D275"/>
    <mergeCell ref="H276:O276"/>
    <mergeCell ref="P276:Q276"/>
    <mergeCell ref="D305:G305"/>
    <mergeCell ref="H305:J305"/>
    <mergeCell ref="K305:M305"/>
    <mergeCell ref="N305:P305"/>
    <mergeCell ref="Q305:S305"/>
    <mergeCell ref="D281:E284"/>
    <mergeCell ref="F281:G284"/>
    <mergeCell ref="H281:O284"/>
    <mergeCell ref="P281:Q284"/>
    <mergeCell ref="R281:S284"/>
    <mergeCell ref="D285:E288"/>
    <mergeCell ref="F285:G288"/>
    <mergeCell ref="H285:O288"/>
    <mergeCell ref="P285:Q288"/>
    <mergeCell ref="R285:S288"/>
    <mergeCell ref="D304:G304"/>
    <mergeCell ref="H304:S304"/>
    <mergeCell ref="D308:S308"/>
    <mergeCell ref="U308:V308"/>
    <mergeCell ref="E309:F309"/>
    <mergeCell ref="U309:V310"/>
    <mergeCell ref="D310:D315"/>
    <mergeCell ref="D316:D317"/>
    <mergeCell ref="D306:G306"/>
    <mergeCell ref="H306:J306"/>
    <mergeCell ref="K306:M306"/>
    <mergeCell ref="N306:P306"/>
    <mergeCell ref="Q306:S306"/>
    <mergeCell ref="D307:S307"/>
    <mergeCell ref="R326:S326"/>
    <mergeCell ref="D327:E330"/>
    <mergeCell ref="F327:G330"/>
    <mergeCell ref="H327:O330"/>
    <mergeCell ref="P327:Q330"/>
    <mergeCell ref="R327:S330"/>
    <mergeCell ref="D318:D319"/>
    <mergeCell ref="D320:D321"/>
    <mergeCell ref="D322:D323"/>
    <mergeCell ref="D324:D325"/>
    <mergeCell ref="H326:O326"/>
    <mergeCell ref="P326:Q326"/>
    <mergeCell ref="D355:G355"/>
    <mergeCell ref="H355:J355"/>
    <mergeCell ref="K355:M355"/>
    <mergeCell ref="N355:P355"/>
    <mergeCell ref="Q355:S355"/>
    <mergeCell ref="D331:E334"/>
    <mergeCell ref="F331:G334"/>
    <mergeCell ref="H331:O334"/>
    <mergeCell ref="P331:Q334"/>
    <mergeCell ref="R331:S334"/>
    <mergeCell ref="D335:E338"/>
    <mergeCell ref="F335:G338"/>
    <mergeCell ref="H335:O338"/>
    <mergeCell ref="P335:Q338"/>
    <mergeCell ref="R335:S338"/>
    <mergeCell ref="D354:G354"/>
    <mergeCell ref="H354:S354"/>
    <mergeCell ref="D358:S358"/>
    <mergeCell ref="U358:V358"/>
    <mergeCell ref="E359:F359"/>
    <mergeCell ref="U359:V360"/>
    <mergeCell ref="D360:D365"/>
    <mergeCell ref="D366:D367"/>
    <mergeCell ref="D356:G356"/>
    <mergeCell ref="H356:J356"/>
    <mergeCell ref="K356:M356"/>
    <mergeCell ref="N356:P356"/>
    <mergeCell ref="Q356:S356"/>
    <mergeCell ref="D357:S357"/>
    <mergeCell ref="R376:S376"/>
    <mergeCell ref="D377:E380"/>
    <mergeCell ref="F377:G380"/>
    <mergeCell ref="H377:O380"/>
    <mergeCell ref="P377:Q380"/>
    <mergeCell ref="R377:S380"/>
    <mergeCell ref="D368:D369"/>
    <mergeCell ref="D370:D371"/>
    <mergeCell ref="D372:D373"/>
    <mergeCell ref="D374:D375"/>
    <mergeCell ref="H376:O376"/>
    <mergeCell ref="P376:Q376"/>
    <mergeCell ref="D405:G405"/>
    <mergeCell ref="H405:J405"/>
    <mergeCell ref="K405:M405"/>
    <mergeCell ref="N405:P405"/>
    <mergeCell ref="Q405:S405"/>
    <mergeCell ref="D381:E384"/>
    <mergeCell ref="F381:G384"/>
    <mergeCell ref="H381:O384"/>
    <mergeCell ref="P381:Q384"/>
    <mergeCell ref="R381:S384"/>
    <mergeCell ref="D385:E388"/>
    <mergeCell ref="F385:G388"/>
    <mergeCell ref="H385:O388"/>
    <mergeCell ref="P385:Q388"/>
    <mergeCell ref="R385:S388"/>
    <mergeCell ref="D404:G404"/>
    <mergeCell ref="H404:S404"/>
    <mergeCell ref="D408:S408"/>
    <mergeCell ref="U408:V408"/>
    <mergeCell ref="E409:F409"/>
    <mergeCell ref="U409:V410"/>
    <mergeCell ref="D410:D415"/>
    <mergeCell ref="D416:D417"/>
    <mergeCell ref="D406:G406"/>
    <mergeCell ref="H406:J406"/>
    <mergeCell ref="K406:M406"/>
    <mergeCell ref="N406:P406"/>
    <mergeCell ref="Q406:S406"/>
    <mergeCell ref="D407:S407"/>
    <mergeCell ref="R426:S426"/>
    <mergeCell ref="D427:E430"/>
    <mergeCell ref="F427:G430"/>
    <mergeCell ref="H427:O430"/>
    <mergeCell ref="P427:Q430"/>
    <mergeCell ref="R427:S430"/>
    <mergeCell ref="D418:D419"/>
    <mergeCell ref="D420:D421"/>
    <mergeCell ref="D422:D423"/>
    <mergeCell ref="D424:D425"/>
    <mergeCell ref="H426:O426"/>
    <mergeCell ref="P426:Q426"/>
    <mergeCell ref="D455:G455"/>
    <mergeCell ref="H455:J455"/>
    <mergeCell ref="K455:M455"/>
    <mergeCell ref="N455:P455"/>
    <mergeCell ref="Q455:S455"/>
    <mergeCell ref="D431:E434"/>
    <mergeCell ref="F431:G434"/>
    <mergeCell ref="H431:O434"/>
    <mergeCell ref="P431:Q434"/>
    <mergeCell ref="R431:S434"/>
    <mergeCell ref="D435:E438"/>
    <mergeCell ref="F435:G438"/>
    <mergeCell ref="H435:O438"/>
    <mergeCell ref="P435:Q438"/>
    <mergeCell ref="R435:S438"/>
    <mergeCell ref="D454:G454"/>
    <mergeCell ref="H454:S454"/>
    <mergeCell ref="D458:S458"/>
    <mergeCell ref="U458:V458"/>
    <mergeCell ref="E459:F459"/>
    <mergeCell ref="U459:V460"/>
    <mergeCell ref="D460:D465"/>
    <mergeCell ref="D466:D467"/>
    <mergeCell ref="D456:G456"/>
    <mergeCell ref="H456:J456"/>
    <mergeCell ref="K456:M456"/>
    <mergeCell ref="N456:P456"/>
    <mergeCell ref="Q456:S456"/>
    <mergeCell ref="D457:S457"/>
    <mergeCell ref="R476:S476"/>
    <mergeCell ref="D477:E480"/>
    <mergeCell ref="F477:G480"/>
    <mergeCell ref="H477:O480"/>
    <mergeCell ref="P477:Q480"/>
    <mergeCell ref="R477:S480"/>
    <mergeCell ref="D468:D469"/>
    <mergeCell ref="D470:D471"/>
    <mergeCell ref="D472:D473"/>
    <mergeCell ref="D474:D475"/>
    <mergeCell ref="H476:O476"/>
    <mergeCell ref="P476:Q476"/>
    <mergeCell ref="D505:G505"/>
    <mergeCell ref="H505:J505"/>
    <mergeCell ref="K505:M505"/>
    <mergeCell ref="N505:P505"/>
    <mergeCell ref="Q505:S505"/>
    <mergeCell ref="D481:E484"/>
    <mergeCell ref="F481:G484"/>
    <mergeCell ref="H481:O484"/>
    <mergeCell ref="P481:Q484"/>
    <mergeCell ref="R481:S484"/>
    <mergeCell ref="D485:E488"/>
    <mergeCell ref="F485:G488"/>
    <mergeCell ref="H485:O488"/>
    <mergeCell ref="P485:Q488"/>
    <mergeCell ref="R485:S488"/>
    <mergeCell ref="D504:G504"/>
    <mergeCell ref="H504:S504"/>
    <mergeCell ref="D508:S508"/>
    <mergeCell ref="U508:V508"/>
    <mergeCell ref="E509:F509"/>
    <mergeCell ref="U509:V510"/>
    <mergeCell ref="D510:D515"/>
    <mergeCell ref="D516:D517"/>
    <mergeCell ref="D506:G506"/>
    <mergeCell ref="H506:J506"/>
    <mergeCell ref="K506:M506"/>
    <mergeCell ref="N506:P506"/>
    <mergeCell ref="Q506:S506"/>
    <mergeCell ref="D507:S507"/>
    <mergeCell ref="R526:S526"/>
    <mergeCell ref="D527:E530"/>
    <mergeCell ref="F527:G530"/>
    <mergeCell ref="H527:O530"/>
    <mergeCell ref="P527:Q530"/>
    <mergeCell ref="R527:S530"/>
    <mergeCell ref="D518:D519"/>
    <mergeCell ref="D520:D521"/>
    <mergeCell ref="D522:D523"/>
    <mergeCell ref="D524:D525"/>
    <mergeCell ref="H526:O526"/>
    <mergeCell ref="P526:Q526"/>
    <mergeCell ref="D555:G555"/>
    <mergeCell ref="H555:J555"/>
    <mergeCell ref="K555:M555"/>
    <mergeCell ref="N555:P555"/>
    <mergeCell ref="Q555:S555"/>
    <mergeCell ref="D531:E534"/>
    <mergeCell ref="F531:G534"/>
    <mergeCell ref="H531:O534"/>
    <mergeCell ref="P531:Q534"/>
    <mergeCell ref="R531:S534"/>
    <mergeCell ref="D535:E538"/>
    <mergeCell ref="F535:G538"/>
    <mergeCell ref="H535:O538"/>
    <mergeCell ref="P535:Q538"/>
    <mergeCell ref="R535:S538"/>
    <mergeCell ref="D554:G554"/>
    <mergeCell ref="H554:S554"/>
    <mergeCell ref="D558:S558"/>
    <mergeCell ref="U558:V558"/>
    <mergeCell ref="E559:F559"/>
    <mergeCell ref="U559:V560"/>
    <mergeCell ref="D560:D565"/>
    <mergeCell ref="D566:D567"/>
    <mergeCell ref="D556:G556"/>
    <mergeCell ref="H556:J556"/>
    <mergeCell ref="K556:M556"/>
    <mergeCell ref="N556:P556"/>
    <mergeCell ref="Q556:S556"/>
    <mergeCell ref="D557:S557"/>
    <mergeCell ref="R576:S576"/>
    <mergeCell ref="D577:E580"/>
    <mergeCell ref="F577:G580"/>
    <mergeCell ref="H577:O580"/>
    <mergeCell ref="P577:Q580"/>
    <mergeCell ref="R577:S580"/>
    <mergeCell ref="D568:D569"/>
    <mergeCell ref="D570:D571"/>
    <mergeCell ref="D572:D573"/>
    <mergeCell ref="D574:D575"/>
    <mergeCell ref="H576:O576"/>
    <mergeCell ref="P576:Q576"/>
    <mergeCell ref="D605:G605"/>
    <mergeCell ref="H605:J605"/>
    <mergeCell ref="K605:M605"/>
    <mergeCell ref="N605:P605"/>
    <mergeCell ref="Q605:S605"/>
    <mergeCell ref="D581:E584"/>
    <mergeCell ref="F581:G584"/>
    <mergeCell ref="H581:O584"/>
    <mergeCell ref="P581:Q584"/>
    <mergeCell ref="R581:S584"/>
    <mergeCell ref="D585:E588"/>
    <mergeCell ref="F585:G588"/>
    <mergeCell ref="H585:O588"/>
    <mergeCell ref="P585:Q588"/>
    <mergeCell ref="R585:S588"/>
    <mergeCell ref="D604:G604"/>
    <mergeCell ref="H604:S604"/>
    <mergeCell ref="D608:S608"/>
    <mergeCell ref="U608:V608"/>
    <mergeCell ref="E609:F609"/>
    <mergeCell ref="U609:V610"/>
    <mergeCell ref="D610:D615"/>
    <mergeCell ref="D616:D617"/>
    <mergeCell ref="D606:G606"/>
    <mergeCell ref="H606:J606"/>
    <mergeCell ref="K606:M606"/>
    <mergeCell ref="N606:P606"/>
    <mergeCell ref="Q606:S606"/>
    <mergeCell ref="D607:S607"/>
    <mergeCell ref="R626:S626"/>
    <mergeCell ref="D627:E630"/>
    <mergeCell ref="F627:G630"/>
    <mergeCell ref="H627:O630"/>
    <mergeCell ref="P627:Q630"/>
    <mergeCell ref="R627:S630"/>
    <mergeCell ref="D618:D619"/>
    <mergeCell ref="D620:D621"/>
    <mergeCell ref="D622:D623"/>
    <mergeCell ref="D624:D625"/>
    <mergeCell ref="H626:O626"/>
    <mergeCell ref="P626:Q626"/>
    <mergeCell ref="D655:G655"/>
    <mergeCell ref="H655:J655"/>
    <mergeCell ref="K655:M655"/>
    <mergeCell ref="N655:P655"/>
    <mergeCell ref="Q655:S655"/>
    <mergeCell ref="D631:E634"/>
    <mergeCell ref="F631:G634"/>
    <mergeCell ref="H631:O634"/>
    <mergeCell ref="P631:Q634"/>
    <mergeCell ref="R631:S634"/>
    <mergeCell ref="D635:E638"/>
    <mergeCell ref="F635:G638"/>
    <mergeCell ref="H635:O638"/>
    <mergeCell ref="P635:Q638"/>
    <mergeCell ref="R635:S638"/>
    <mergeCell ref="D654:G654"/>
    <mergeCell ref="H654:S654"/>
    <mergeCell ref="D658:S658"/>
    <mergeCell ref="U658:V658"/>
    <mergeCell ref="E659:F659"/>
    <mergeCell ref="U659:V660"/>
    <mergeCell ref="D660:D665"/>
    <mergeCell ref="D666:D667"/>
    <mergeCell ref="D656:G656"/>
    <mergeCell ref="H656:J656"/>
    <mergeCell ref="K656:M656"/>
    <mergeCell ref="N656:P656"/>
    <mergeCell ref="Q656:S656"/>
    <mergeCell ref="D657:S657"/>
    <mergeCell ref="R676:S676"/>
    <mergeCell ref="D677:E680"/>
    <mergeCell ref="F677:G680"/>
    <mergeCell ref="H677:O680"/>
    <mergeCell ref="P677:Q680"/>
    <mergeCell ref="R677:S680"/>
    <mergeCell ref="D668:D669"/>
    <mergeCell ref="D670:D671"/>
    <mergeCell ref="D672:D673"/>
    <mergeCell ref="D674:D675"/>
    <mergeCell ref="H676:O676"/>
    <mergeCell ref="P676:Q676"/>
    <mergeCell ref="D705:G705"/>
    <mergeCell ref="H705:J705"/>
    <mergeCell ref="K705:M705"/>
    <mergeCell ref="N705:P705"/>
    <mergeCell ref="Q705:S705"/>
    <mergeCell ref="D681:E684"/>
    <mergeCell ref="F681:G684"/>
    <mergeCell ref="H681:O684"/>
    <mergeCell ref="P681:Q684"/>
    <mergeCell ref="R681:S684"/>
    <mergeCell ref="D685:E688"/>
    <mergeCell ref="F685:G688"/>
    <mergeCell ref="H685:O688"/>
    <mergeCell ref="P685:Q688"/>
    <mergeCell ref="R685:S688"/>
    <mergeCell ref="D704:G704"/>
    <mergeCell ref="H704:S704"/>
    <mergeCell ref="D708:S708"/>
    <mergeCell ref="U708:V708"/>
    <mergeCell ref="E709:F709"/>
    <mergeCell ref="U709:V710"/>
    <mergeCell ref="D710:D715"/>
    <mergeCell ref="D716:D717"/>
    <mergeCell ref="D706:G706"/>
    <mergeCell ref="H706:J706"/>
    <mergeCell ref="K706:M706"/>
    <mergeCell ref="N706:P706"/>
    <mergeCell ref="Q706:S706"/>
    <mergeCell ref="D707:S707"/>
    <mergeCell ref="R726:S726"/>
    <mergeCell ref="D727:E730"/>
    <mergeCell ref="F727:G730"/>
    <mergeCell ref="H727:O730"/>
    <mergeCell ref="P727:Q730"/>
    <mergeCell ref="R727:S730"/>
    <mergeCell ref="D718:D719"/>
    <mergeCell ref="D720:D721"/>
    <mergeCell ref="D722:D723"/>
    <mergeCell ref="D724:D725"/>
    <mergeCell ref="H726:O726"/>
    <mergeCell ref="P726:Q726"/>
    <mergeCell ref="D755:G755"/>
    <mergeCell ref="H755:J755"/>
    <mergeCell ref="K755:M755"/>
    <mergeCell ref="N755:P755"/>
    <mergeCell ref="Q755:S755"/>
    <mergeCell ref="D731:E734"/>
    <mergeCell ref="F731:G734"/>
    <mergeCell ref="H731:O734"/>
    <mergeCell ref="P731:Q734"/>
    <mergeCell ref="R731:S734"/>
    <mergeCell ref="D735:E738"/>
    <mergeCell ref="F735:G738"/>
    <mergeCell ref="H735:O738"/>
    <mergeCell ref="P735:Q738"/>
    <mergeCell ref="R735:S738"/>
    <mergeCell ref="D754:G754"/>
    <mergeCell ref="H754:S754"/>
    <mergeCell ref="D758:S758"/>
    <mergeCell ref="U758:V758"/>
    <mergeCell ref="E759:F759"/>
    <mergeCell ref="U759:V760"/>
    <mergeCell ref="D760:D765"/>
    <mergeCell ref="D766:D767"/>
    <mergeCell ref="D756:G756"/>
    <mergeCell ref="H756:J756"/>
    <mergeCell ref="K756:M756"/>
    <mergeCell ref="N756:P756"/>
    <mergeCell ref="Q756:S756"/>
    <mergeCell ref="D757:S757"/>
    <mergeCell ref="R776:S776"/>
    <mergeCell ref="D777:E780"/>
    <mergeCell ref="F777:G780"/>
    <mergeCell ref="H777:O780"/>
    <mergeCell ref="P777:Q780"/>
    <mergeCell ref="R777:S780"/>
    <mergeCell ref="D768:D769"/>
    <mergeCell ref="D770:D771"/>
    <mergeCell ref="D772:D773"/>
    <mergeCell ref="D774:D775"/>
    <mergeCell ref="H776:O776"/>
    <mergeCell ref="P776:Q776"/>
    <mergeCell ref="D781:E784"/>
    <mergeCell ref="F781:G784"/>
    <mergeCell ref="H781:O784"/>
    <mergeCell ref="P781:Q784"/>
    <mergeCell ref="R781:S784"/>
    <mergeCell ref="D785:E788"/>
    <mergeCell ref="F785:G788"/>
    <mergeCell ref="H785:O788"/>
    <mergeCell ref="P785:Q788"/>
    <mergeCell ref="R785:S788"/>
  </mergeCells>
  <conditionalFormatting sqref="D2:S2">
    <cfRule type="expression" dxfId="433" priority="16">
      <formula>IF(LEFT($A$7,2)="05",1,0)</formula>
    </cfRule>
    <cfRule type="expression" dxfId="432" priority="8" stopIfTrue="1">
      <formula>IF(LEFT($A$7,2)="01",1,0)</formula>
    </cfRule>
    <cfRule type="expression" dxfId="431" priority="13" stopIfTrue="1">
      <formula>IF(LEFT($A$7,2)="02",1,0)</formula>
    </cfRule>
    <cfRule type="expression" dxfId="430" priority="14" stopIfTrue="1">
      <formula>IF(LEFT($A$7,2)="03",1,0)</formula>
    </cfRule>
    <cfRule type="expression" dxfId="429" priority="15" stopIfTrue="1">
      <formula>IF(LEFT($A$7,2)="04",1,0)</formula>
    </cfRule>
  </conditionalFormatting>
  <conditionalFormatting sqref="D4:S4">
    <cfRule type="expression" dxfId="428" priority="11">
      <formula>IF(LEFT($A$7,2)="04",1,0)</formula>
    </cfRule>
    <cfRule type="expression" dxfId="427" priority="7">
      <formula>IF(LEFT($A$7,2)="01",1,0)</formula>
    </cfRule>
    <cfRule type="expression" dxfId="426" priority="9">
      <formula>IF(LEFT($A$7,2)="02",1,0)</formula>
    </cfRule>
    <cfRule type="expression" dxfId="425" priority="10">
      <formula>IF(LEFT($A$7,2)="03",1,0)</formula>
    </cfRule>
    <cfRule type="expression" dxfId="424" priority="12">
      <formula>IF(LEFT($A$7,2)="05",1,0)</formula>
    </cfRule>
  </conditionalFormatting>
  <conditionalFormatting sqref="D54:S54">
    <cfRule type="expression" dxfId="423" priority="314">
      <formula>IF(LEFT($A$7,2)="03",1,0)</formula>
    </cfRule>
    <cfRule type="expression" dxfId="422" priority="315">
      <formula>IF(LEFT($A$7,2)="04",1,0)</formula>
    </cfRule>
    <cfRule type="expression" dxfId="421" priority="316">
      <formula>IF(LEFT($A$7,2)="05",1,0)</formula>
    </cfRule>
    <cfRule type="expression" dxfId="420" priority="312">
      <formula>IF(LEFT($A$7,2)="01",1,0)</formula>
    </cfRule>
    <cfRule type="expression" dxfId="419" priority="313">
      <formula>IF(LEFT($A$7,2)="02",1,0)</formula>
    </cfRule>
  </conditionalFormatting>
  <conditionalFormatting sqref="D104:S104">
    <cfRule type="expression" dxfId="418" priority="224">
      <formula>IF(LEFT($A$7,2)="03",1,0)</formula>
    </cfRule>
    <cfRule type="expression" dxfId="417" priority="223">
      <formula>IF(LEFT($A$7,2)="02",1,0)</formula>
    </cfRule>
    <cfRule type="expression" dxfId="416" priority="222">
      <formula>IF(LEFT($A$7,2)="01",1,0)</formula>
    </cfRule>
    <cfRule type="expression" dxfId="415" priority="226">
      <formula>IF(LEFT($A$7,2)="05",1,0)</formula>
    </cfRule>
    <cfRule type="expression" dxfId="414" priority="225">
      <formula>IF(LEFT($A$7,2)="04",1,0)</formula>
    </cfRule>
  </conditionalFormatting>
  <conditionalFormatting sqref="D154:S154">
    <cfRule type="expression" dxfId="413" priority="220">
      <formula>IF(LEFT($A$7,2)="04",1,0)</formula>
    </cfRule>
    <cfRule type="expression" dxfId="412" priority="219">
      <formula>IF(LEFT($A$7,2)="03",1,0)</formula>
    </cfRule>
    <cfRule type="expression" dxfId="411" priority="218">
      <formula>IF(LEFT($A$7,2)="02",1,0)</formula>
    </cfRule>
    <cfRule type="expression" dxfId="410" priority="217">
      <formula>IF(LEFT($A$7,2)="01",1,0)</formula>
    </cfRule>
    <cfRule type="expression" dxfId="409" priority="221">
      <formula>IF(LEFT($A$7,2)="05",1,0)</formula>
    </cfRule>
  </conditionalFormatting>
  <conditionalFormatting sqref="D204:S204">
    <cfRule type="expression" dxfId="408" priority="212">
      <formula>IF(LEFT($A$7,2)="01",1,0)</formula>
    </cfRule>
    <cfRule type="expression" dxfId="407" priority="216">
      <formula>IF(LEFT($A$7,2)="05",1,0)</formula>
    </cfRule>
    <cfRule type="expression" dxfId="406" priority="215">
      <formula>IF(LEFT($A$7,2)="04",1,0)</formula>
    </cfRule>
    <cfRule type="expression" dxfId="405" priority="214">
      <formula>IF(LEFT($A$7,2)="03",1,0)</formula>
    </cfRule>
    <cfRule type="expression" dxfId="404" priority="213">
      <formula>IF(LEFT($A$7,2)="02",1,0)</formula>
    </cfRule>
  </conditionalFormatting>
  <conditionalFormatting sqref="D254:S254">
    <cfRule type="expression" dxfId="403" priority="211">
      <formula>IF(LEFT($A$7,2)="05",1,0)</formula>
    </cfRule>
    <cfRule type="expression" dxfId="402" priority="207">
      <formula>IF(LEFT($A$7,2)="01",1,0)</formula>
    </cfRule>
    <cfRule type="expression" dxfId="401" priority="208">
      <formula>IF(LEFT($A$7,2)="02",1,0)</formula>
    </cfRule>
    <cfRule type="expression" dxfId="400" priority="209">
      <formula>IF(LEFT($A$7,2)="03",1,0)</formula>
    </cfRule>
    <cfRule type="expression" dxfId="399" priority="210">
      <formula>IF(LEFT($A$7,2)="04",1,0)</formula>
    </cfRule>
  </conditionalFormatting>
  <conditionalFormatting sqref="D304:S304">
    <cfRule type="expression" dxfId="398" priority="206">
      <formula>IF(LEFT($A$7,2)="05",1,0)</formula>
    </cfRule>
    <cfRule type="expression" dxfId="397" priority="205">
      <formula>IF(LEFT($A$7,2)="04",1,0)</formula>
    </cfRule>
    <cfRule type="expression" dxfId="396" priority="203">
      <formula>IF(LEFT($A$7,2)="02",1,0)</formula>
    </cfRule>
    <cfRule type="expression" dxfId="395" priority="202">
      <formula>IF(LEFT($A$7,2)="01",1,0)</formula>
    </cfRule>
    <cfRule type="expression" dxfId="394" priority="204">
      <formula>IF(LEFT($A$7,2)="03",1,0)</formula>
    </cfRule>
  </conditionalFormatting>
  <conditionalFormatting sqref="D354:S354">
    <cfRule type="expression" dxfId="393" priority="201">
      <formula>IF(LEFT($A$7,2)="05",1,0)</formula>
    </cfRule>
    <cfRule type="expression" dxfId="392" priority="200">
      <formula>IF(LEFT($A$7,2)="04",1,0)</formula>
    </cfRule>
    <cfRule type="expression" dxfId="391" priority="199">
      <formula>IF(LEFT($A$7,2)="03",1,0)</formula>
    </cfRule>
    <cfRule type="expression" dxfId="390" priority="198">
      <formula>IF(LEFT($A$7,2)="02",1,0)</formula>
    </cfRule>
    <cfRule type="expression" dxfId="389" priority="197">
      <formula>IF(LEFT($A$7,2)="01",1,0)</formula>
    </cfRule>
  </conditionalFormatting>
  <conditionalFormatting sqref="D404:S404">
    <cfRule type="expression" dxfId="388" priority="193">
      <formula>IF(LEFT($A$7,2)="02",1,0)</formula>
    </cfRule>
    <cfRule type="expression" dxfId="387" priority="192">
      <formula>IF(LEFT($A$7,2)="01",1,0)</formula>
    </cfRule>
    <cfRule type="expression" dxfId="386" priority="195">
      <formula>IF(LEFT($A$7,2)="04",1,0)</formula>
    </cfRule>
    <cfRule type="expression" dxfId="385" priority="196">
      <formula>IF(LEFT($A$7,2)="05",1,0)</formula>
    </cfRule>
    <cfRule type="expression" dxfId="384" priority="194">
      <formula>IF(LEFT($A$7,2)="03",1,0)</formula>
    </cfRule>
  </conditionalFormatting>
  <conditionalFormatting sqref="D454:S454">
    <cfRule type="expression" dxfId="383" priority="191">
      <formula>IF(LEFT($A$7,2)="05",1,0)</formula>
    </cfRule>
    <cfRule type="expression" dxfId="382" priority="190">
      <formula>IF(LEFT($A$7,2)="04",1,0)</formula>
    </cfRule>
    <cfRule type="expression" dxfId="381" priority="189">
      <formula>IF(LEFT($A$7,2)="03",1,0)</formula>
    </cfRule>
    <cfRule type="expression" dxfId="380" priority="188">
      <formula>IF(LEFT($A$7,2)="02",1,0)</formula>
    </cfRule>
    <cfRule type="expression" dxfId="379" priority="187">
      <formula>IF(LEFT($A$7,2)="01",1,0)</formula>
    </cfRule>
  </conditionalFormatting>
  <conditionalFormatting sqref="D504:S504">
    <cfRule type="expression" dxfId="378" priority="186">
      <formula>IF(LEFT($A$7,2)="05",1,0)</formula>
    </cfRule>
    <cfRule type="expression" dxfId="377" priority="182">
      <formula>IF(LEFT($A$7,2)="01",1,0)</formula>
    </cfRule>
    <cfRule type="expression" dxfId="376" priority="185">
      <formula>IF(LEFT($A$7,2)="04",1,0)</formula>
    </cfRule>
    <cfRule type="expression" dxfId="375" priority="184">
      <formula>IF(LEFT($A$7,2)="03",1,0)</formula>
    </cfRule>
    <cfRule type="expression" dxfId="374" priority="183">
      <formula>IF(LEFT($A$7,2)="02",1,0)</formula>
    </cfRule>
  </conditionalFormatting>
  <conditionalFormatting sqref="D554:S554">
    <cfRule type="expression" dxfId="373" priority="181">
      <formula>IF(LEFT($A$7,2)="05",1,0)</formula>
    </cfRule>
    <cfRule type="expression" dxfId="372" priority="177">
      <formula>IF(LEFT($A$7,2)="01",1,0)</formula>
    </cfRule>
    <cfRule type="expression" dxfId="371" priority="178">
      <formula>IF(LEFT($A$7,2)="02",1,0)</formula>
    </cfRule>
    <cfRule type="expression" dxfId="370" priority="179">
      <formula>IF(LEFT($A$7,2)="03",1,0)</formula>
    </cfRule>
    <cfRule type="expression" dxfId="369" priority="180">
      <formula>IF(LEFT($A$7,2)="04",1,0)</formula>
    </cfRule>
  </conditionalFormatting>
  <conditionalFormatting sqref="D604:S604">
    <cfRule type="expression" dxfId="368" priority="173">
      <formula>IF(LEFT($A$7,2)="02",1,0)</formula>
    </cfRule>
    <cfRule type="expression" dxfId="367" priority="175">
      <formula>IF(LEFT($A$7,2)="04",1,0)</formula>
    </cfRule>
    <cfRule type="expression" dxfId="366" priority="176">
      <formula>IF(LEFT($A$7,2)="05",1,0)</formula>
    </cfRule>
    <cfRule type="expression" dxfId="365" priority="174">
      <formula>IF(LEFT($A$7,2)="03",1,0)</formula>
    </cfRule>
    <cfRule type="expression" dxfId="364" priority="172">
      <formula>IF(LEFT($A$7,2)="01",1,0)</formula>
    </cfRule>
  </conditionalFormatting>
  <conditionalFormatting sqref="D654:S654">
    <cfRule type="expression" dxfId="363" priority="171">
      <formula>IF(LEFT($A$7,2)="05",1,0)</formula>
    </cfRule>
    <cfRule type="expression" dxfId="362" priority="170">
      <formula>IF(LEFT($A$7,2)="04",1,0)</formula>
    </cfRule>
    <cfRule type="expression" dxfId="361" priority="169">
      <formula>IF(LEFT($A$7,2)="03",1,0)</formula>
    </cfRule>
    <cfRule type="expression" dxfId="360" priority="168">
      <formula>IF(LEFT($A$7,2)="02",1,0)</formula>
    </cfRule>
    <cfRule type="expression" dxfId="359" priority="167">
      <formula>IF(LEFT($A$7,2)="01",1,0)</formula>
    </cfRule>
  </conditionalFormatting>
  <conditionalFormatting sqref="D704:S704">
    <cfRule type="expression" dxfId="358" priority="163">
      <formula>IF(LEFT($A$7,2)="02",1,0)</formula>
    </cfRule>
    <cfRule type="expression" dxfId="357" priority="162">
      <formula>IF(LEFT($A$7,2)="01",1,0)</formula>
    </cfRule>
    <cfRule type="expression" dxfId="356" priority="166">
      <formula>IF(LEFT($A$7,2)="05",1,0)</formula>
    </cfRule>
    <cfRule type="expression" dxfId="355" priority="165">
      <formula>IF(LEFT($A$7,2)="04",1,0)</formula>
    </cfRule>
    <cfRule type="expression" dxfId="354" priority="164">
      <formula>IF(LEFT($A$7,2)="03",1,0)</formula>
    </cfRule>
  </conditionalFormatting>
  <conditionalFormatting sqref="D754:S754">
    <cfRule type="expression" dxfId="353" priority="161">
      <formula>IF(LEFT($A$7,2)="05",1,0)</formula>
    </cfRule>
    <cfRule type="expression" dxfId="352" priority="160">
      <formula>IF(LEFT($A$7,2)="04",1,0)</formula>
    </cfRule>
    <cfRule type="expression" dxfId="351" priority="159">
      <formula>IF(LEFT($A$7,2)="03",1,0)</formula>
    </cfRule>
    <cfRule type="expression" dxfId="350" priority="158">
      <formula>IF(LEFT($A$7,2)="02",1,0)</formula>
    </cfRule>
    <cfRule type="expression" dxfId="349" priority="157">
      <formula>IF(LEFT($A$7,2)="01",1,0)</formula>
    </cfRule>
  </conditionalFormatting>
  <conditionalFormatting sqref="G8">
    <cfRule type="cellIs" dxfId="348" priority="34" operator="equal">
      <formula>5</formula>
    </cfRule>
    <cfRule type="cellIs" dxfId="347" priority="35" operator="equal">
      <formula>6</formula>
    </cfRule>
    <cfRule type="cellIs" dxfId="346" priority="36" operator="equal">
      <formula>7</formula>
    </cfRule>
    <cfRule type="cellIs" dxfId="345" priority="38" operator="equal">
      <formula>"x"</formula>
    </cfRule>
    <cfRule type="cellIs" dxfId="344" priority="39" operator="equal">
      <formula>1</formula>
    </cfRule>
    <cfRule type="cellIs" dxfId="343" priority="40" operator="equal">
      <formula>2</formula>
    </cfRule>
    <cfRule type="cellIs" dxfId="342" priority="42" operator="equal">
      <formula>4</formula>
    </cfRule>
    <cfRule type="cellIs" dxfId="341" priority="43" operator="equal">
      <formula>5</formula>
    </cfRule>
    <cfRule type="cellIs" dxfId="340" priority="44" operator="equal">
      <formula>6</formula>
    </cfRule>
    <cfRule type="cellIs" dxfId="339" priority="41" operator="equal">
      <formula>3</formula>
    </cfRule>
    <cfRule type="cellIs" dxfId="338" priority="31" operator="equal">
      <formula>2</formula>
    </cfRule>
    <cfRule type="cellIs" dxfId="337" priority="32" operator="equal">
      <formula>3</formula>
    </cfRule>
    <cfRule type="cellIs" dxfId="336" priority="33" operator="equal">
      <formula>4</formula>
    </cfRule>
  </conditionalFormatting>
  <conditionalFormatting sqref="G10 G12">
    <cfRule type="cellIs" dxfId="335" priority="156" operator="equal">
      <formula>6</formula>
    </cfRule>
    <cfRule type="cellIs" dxfId="334" priority="153" operator="equal">
      <formula>3</formula>
    </cfRule>
    <cfRule type="cellIs" dxfId="333" priority="152" operator="equal">
      <formula>2</formula>
    </cfRule>
    <cfRule type="cellIs" dxfId="332" priority="151" operator="equal">
      <formula>1</formula>
    </cfRule>
    <cfRule type="cellIs" dxfId="331" priority="150" operator="equal">
      <formula>"x"</formula>
    </cfRule>
    <cfRule type="cellIs" dxfId="330" priority="148" operator="equal">
      <formula>7</formula>
    </cfRule>
    <cfRule type="cellIs" dxfId="329" priority="155" operator="equal">
      <formula>5</formula>
    </cfRule>
    <cfRule type="cellIs" dxfId="328" priority="147" operator="equal">
      <formula>6</formula>
    </cfRule>
    <cfRule type="cellIs" dxfId="327" priority="146" operator="equal">
      <formula>5</formula>
    </cfRule>
    <cfRule type="cellIs" dxfId="326" priority="145" operator="equal">
      <formula>4</formula>
    </cfRule>
    <cfRule type="cellIs" dxfId="325" priority="144" operator="equal">
      <formula>3</formula>
    </cfRule>
    <cfRule type="cellIs" dxfId="324" priority="143" operator="equal">
      <formula>2</formula>
    </cfRule>
    <cfRule type="cellIs" dxfId="323" priority="154" operator="equal">
      <formula>4</formula>
    </cfRule>
  </conditionalFormatting>
  <conditionalFormatting sqref="G14">
    <cfRule type="cellIs" dxfId="322" priority="131" operator="equal">
      <formula>4</formula>
    </cfRule>
    <cfRule type="cellIs" dxfId="321" priority="132" operator="equal">
      <formula>5</formula>
    </cfRule>
    <cfRule type="cellIs" dxfId="320" priority="133" operator="equal">
      <formula>6</formula>
    </cfRule>
    <cfRule type="cellIs" dxfId="319" priority="134" operator="equal">
      <formula>7</formula>
    </cfRule>
    <cfRule type="cellIs" dxfId="318" priority="136" operator="equal">
      <formula>"x"</formula>
    </cfRule>
    <cfRule type="cellIs" dxfId="317" priority="137" operator="equal">
      <formula>1</formula>
    </cfRule>
    <cfRule type="cellIs" dxfId="316" priority="129" operator="equal">
      <formula>2</formula>
    </cfRule>
    <cfRule type="cellIs" dxfId="315" priority="139" operator="equal">
      <formula>3</formula>
    </cfRule>
    <cfRule type="cellIs" dxfId="314" priority="140" operator="equal">
      <formula>4</formula>
    </cfRule>
    <cfRule type="cellIs" dxfId="313" priority="141" operator="equal">
      <formula>5</formula>
    </cfRule>
    <cfRule type="cellIs" dxfId="312" priority="142" operator="equal">
      <formula>6</formula>
    </cfRule>
    <cfRule type="cellIs" dxfId="311" priority="138" operator="equal">
      <formula>2</formula>
    </cfRule>
    <cfRule type="cellIs" dxfId="310" priority="130" operator="equal">
      <formula>3</formula>
    </cfRule>
  </conditionalFormatting>
  <conditionalFormatting sqref="G16">
    <cfRule type="cellIs" dxfId="309" priority="120" operator="equal">
      <formula>7</formula>
    </cfRule>
    <cfRule type="cellIs" dxfId="308" priority="126" operator="equal">
      <formula>4</formula>
    </cfRule>
    <cfRule type="cellIs" dxfId="307" priority="128" operator="equal">
      <formula>6</formula>
    </cfRule>
    <cfRule type="cellIs" dxfId="306" priority="125" operator="equal">
      <formula>3</formula>
    </cfRule>
    <cfRule type="cellIs" dxfId="305" priority="123" operator="equal">
      <formula>1</formula>
    </cfRule>
    <cfRule type="cellIs" dxfId="304" priority="122" operator="equal">
      <formula>"x"</formula>
    </cfRule>
    <cfRule type="cellIs" dxfId="303" priority="117" operator="equal">
      <formula>4</formula>
    </cfRule>
    <cfRule type="cellIs" dxfId="302" priority="119" operator="equal">
      <formula>6</formula>
    </cfRule>
    <cfRule type="cellIs" dxfId="301" priority="118" operator="equal">
      <formula>5</formula>
    </cfRule>
    <cfRule type="cellIs" dxfId="300" priority="124" operator="equal">
      <formula>2</formula>
    </cfRule>
    <cfRule type="cellIs" dxfId="299" priority="115" operator="equal">
      <formula>2</formula>
    </cfRule>
    <cfRule type="cellIs" dxfId="298" priority="116" operator="equal">
      <formula>3</formula>
    </cfRule>
    <cfRule type="cellIs" dxfId="297" priority="127" operator="equal">
      <formula>5</formula>
    </cfRule>
  </conditionalFormatting>
  <conditionalFormatting sqref="G18">
    <cfRule type="cellIs" dxfId="296" priority="104" operator="equal">
      <formula>5</formula>
    </cfRule>
    <cfRule type="cellIs" dxfId="295" priority="105" operator="equal">
      <formula>6</formula>
    </cfRule>
    <cfRule type="cellIs" dxfId="294" priority="106" operator="equal">
      <formula>7</formula>
    </cfRule>
    <cfRule type="cellIs" dxfId="293" priority="108" operator="equal">
      <formula>"x"</formula>
    </cfRule>
    <cfRule type="cellIs" dxfId="292" priority="109" operator="equal">
      <formula>1</formula>
    </cfRule>
    <cfRule type="cellIs" dxfId="291" priority="110" operator="equal">
      <formula>2</formula>
    </cfRule>
    <cfRule type="cellIs" dxfId="290" priority="111" operator="equal">
      <formula>3</formula>
    </cfRule>
    <cfRule type="cellIs" dxfId="289" priority="113" operator="equal">
      <formula>5</formula>
    </cfRule>
    <cfRule type="cellIs" dxfId="288" priority="114" operator="equal">
      <formula>6</formula>
    </cfRule>
    <cfRule type="cellIs" dxfId="287" priority="112" operator="equal">
      <formula>4</formula>
    </cfRule>
    <cfRule type="cellIs" dxfId="286" priority="103" operator="equal">
      <formula>4</formula>
    </cfRule>
    <cfRule type="cellIs" dxfId="285" priority="101" operator="equal">
      <formula>2</formula>
    </cfRule>
    <cfRule type="cellIs" dxfId="284" priority="102" operator="equal">
      <formula>3</formula>
    </cfRule>
  </conditionalFormatting>
  <conditionalFormatting sqref="G20">
    <cfRule type="cellIs" dxfId="283" priority="87" operator="equal">
      <formula>2</formula>
    </cfRule>
    <cfRule type="cellIs" dxfId="282" priority="88" operator="equal">
      <formula>3</formula>
    </cfRule>
    <cfRule type="cellIs" dxfId="281" priority="89" operator="equal">
      <formula>4</formula>
    </cfRule>
    <cfRule type="cellIs" dxfId="280" priority="90" operator="equal">
      <formula>5</formula>
    </cfRule>
    <cfRule type="cellIs" dxfId="279" priority="91" operator="equal">
      <formula>6</formula>
    </cfRule>
    <cfRule type="cellIs" dxfId="278" priority="92" operator="equal">
      <formula>7</formula>
    </cfRule>
    <cfRule type="cellIs" dxfId="277" priority="94" operator="equal">
      <formula>"x"</formula>
    </cfRule>
    <cfRule type="cellIs" dxfId="276" priority="96" operator="equal">
      <formula>2</formula>
    </cfRule>
    <cfRule type="cellIs" dxfId="275" priority="97" operator="equal">
      <formula>3</formula>
    </cfRule>
    <cfRule type="cellIs" dxfId="274" priority="98" operator="equal">
      <formula>4</formula>
    </cfRule>
    <cfRule type="cellIs" dxfId="273" priority="99" operator="equal">
      <formula>5</formula>
    </cfRule>
    <cfRule type="cellIs" dxfId="272" priority="100" operator="equal">
      <formula>6</formula>
    </cfRule>
    <cfRule type="cellIs" dxfId="271" priority="95" operator="equal">
      <formula>1</formula>
    </cfRule>
  </conditionalFormatting>
  <conditionalFormatting sqref="G22 G24 G26 G28 G30 G32 G34 G36">
    <cfRule type="cellIs" dxfId="270" priority="80" operator="equal">
      <formula>"x"</formula>
    </cfRule>
    <cfRule type="cellIs" dxfId="269" priority="81" operator="equal">
      <formula>1</formula>
    </cfRule>
    <cfRule type="cellIs" dxfId="268" priority="83" operator="equal">
      <formula>3</formula>
    </cfRule>
    <cfRule type="cellIs" dxfId="267" priority="84" operator="equal">
      <formula>4</formula>
    </cfRule>
    <cfRule type="cellIs" dxfId="266" priority="85" operator="equal">
      <formula>5</formula>
    </cfRule>
    <cfRule type="cellIs" dxfId="265" priority="86" operator="equal">
      <formula>6</formula>
    </cfRule>
    <cfRule type="cellIs" dxfId="264" priority="82" operator="equal">
      <formula>2</formula>
    </cfRule>
    <cfRule type="cellIs" dxfId="263" priority="73" operator="equal">
      <formula>2</formula>
    </cfRule>
    <cfRule type="cellIs" dxfId="262" priority="74" operator="equal">
      <formula>3</formula>
    </cfRule>
    <cfRule type="cellIs" dxfId="261" priority="75" operator="equal">
      <formula>4</formula>
    </cfRule>
    <cfRule type="cellIs" dxfId="260" priority="76" operator="equal">
      <formula>5</formula>
    </cfRule>
    <cfRule type="cellIs" dxfId="259" priority="77" operator="equal">
      <formula>6</formula>
    </cfRule>
    <cfRule type="cellIs" dxfId="258" priority="78" operator="equal">
      <formula>7</formula>
    </cfRule>
  </conditionalFormatting>
  <conditionalFormatting sqref="G38">
    <cfRule type="cellIs" dxfId="257" priority="67" operator="equal">
      <formula>1</formula>
    </cfRule>
    <cfRule type="cellIs" dxfId="256" priority="72" operator="equal">
      <formula>6</formula>
    </cfRule>
    <cfRule type="cellIs" dxfId="255" priority="71" operator="equal">
      <formula>5</formula>
    </cfRule>
    <cfRule type="cellIs" dxfId="254" priority="70" operator="equal">
      <formula>4</formula>
    </cfRule>
    <cfRule type="cellIs" dxfId="253" priority="69" operator="equal">
      <formula>3</formula>
    </cfRule>
    <cfRule type="cellIs" dxfId="252" priority="61" operator="equal">
      <formula>4</formula>
    </cfRule>
    <cfRule type="cellIs" dxfId="251" priority="68" operator="equal">
      <formula>2</formula>
    </cfRule>
    <cfRule type="cellIs" dxfId="250" priority="60" operator="equal">
      <formula>3</formula>
    </cfRule>
    <cfRule type="cellIs" dxfId="249" priority="66" operator="equal">
      <formula>"x"</formula>
    </cfRule>
    <cfRule type="cellIs" dxfId="248" priority="64" operator="equal">
      <formula>7</formula>
    </cfRule>
    <cfRule type="cellIs" dxfId="247" priority="63" operator="equal">
      <formula>6</formula>
    </cfRule>
    <cfRule type="cellIs" dxfId="246" priority="62" operator="equal">
      <formula>5</formula>
    </cfRule>
    <cfRule type="cellIs" dxfId="245" priority="59" operator="equal">
      <formula>2</formula>
    </cfRule>
  </conditionalFormatting>
  <conditionalFormatting sqref="G8:H8 G10:H10 G12:H12 G14:H14 G16:H16 G18:H18 G20:H20 G22:H22 G24:H24 G26:H26 G28:H28 G30:H30 G32:H32 G34:H34 G36:H36 G38:H38">
    <cfRule type="cellIs" dxfId="244" priority="2" operator="equal">
      <formula>1</formula>
    </cfRule>
  </conditionalFormatting>
  <conditionalFormatting sqref="H8 H10 H12 H14 H16 H18 H20 H22 H24 H26 H28 H30 H32 H34 H36 H38">
    <cfRule type="cellIs" dxfId="243" priority="4" operator="equal">
      <formula>3</formula>
    </cfRule>
    <cfRule type="cellIs" dxfId="242" priority="3" operator="equal">
      <formula>2</formula>
    </cfRule>
    <cfRule type="cellIs" dxfId="241" priority="1" operator="equal">
      <formula>0</formula>
    </cfRule>
    <cfRule type="cellIs" dxfId="240" priority="6" operator="equal">
      <formula>5</formula>
    </cfRule>
    <cfRule type="cellIs" dxfId="239" priority="5" operator="equal">
      <formula>4</formula>
    </cfRule>
  </conditionalFormatting>
  <conditionalFormatting sqref="H60:S75">
    <cfRule type="cellIs" dxfId="238" priority="319" operator="equal">
      <formula>3</formula>
    </cfRule>
    <cfRule type="cellIs" dxfId="237" priority="318" operator="equal">
      <formula>2</formula>
    </cfRule>
    <cfRule type="cellIs" dxfId="236" priority="317" operator="equal">
      <formula>1</formula>
    </cfRule>
    <cfRule type="cellIs" dxfId="235" priority="311" operator="equal">
      <formula>0</formula>
    </cfRule>
    <cfRule type="cellIs" dxfId="234" priority="320" operator="equal">
      <formula>4</formula>
    </cfRule>
    <cfRule type="cellIs" dxfId="233" priority="321" operator="equal">
      <formula>5</formula>
    </cfRule>
  </conditionalFormatting>
  <conditionalFormatting sqref="H110:S125">
    <cfRule type="cellIs" dxfId="232" priority="309" operator="equal">
      <formula>4</formula>
    </cfRule>
    <cfRule type="cellIs" dxfId="231" priority="310" operator="equal">
      <formula>5</formula>
    </cfRule>
    <cfRule type="cellIs" dxfId="230" priority="306" operator="equal">
      <formula>1</formula>
    </cfRule>
    <cfRule type="cellIs" dxfId="229" priority="305" operator="equal">
      <formula>0</formula>
    </cfRule>
    <cfRule type="cellIs" dxfId="228" priority="307" operator="equal">
      <formula>2</formula>
    </cfRule>
    <cfRule type="cellIs" dxfId="227" priority="308" operator="equal">
      <formula>3</formula>
    </cfRule>
  </conditionalFormatting>
  <conditionalFormatting sqref="H160:S175">
    <cfRule type="cellIs" dxfId="226" priority="301" operator="equal">
      <formula>2</formula>
    </cfRule>
    <cfRule type="cellIs" dxfId="225" priority="300" operator="equal">
      <formula>1</formula>
    </cfRule>
    <cfRule type="cellIs" dxfId="224" priority="299" operator="equal">
      <formula>0</formula>
    </cfRule>
    <cfRule type="cellIs" dxfId="223" priority="304" operator="equal">
      <formula>5</formula>
    </cfRule>
    <cfRule type="cellIs" dxfId="222" priority="303" operator="equal">
      <formula>4</formula>
    </cfRule>
    <cfRule type="cellIs" dxfId="221" priority="302" operator="equal">
      <formula>3</formula>
    </cfRule>
  </conditionalFormatting>
  <conditionalFormatting sqref="H210:S225">
    <cfRule type="cellIs" dxfId="220" priority="298" operator="equal">
      <formula>5</formula>
    </cfRule>
    <cfRule type="cellIs" dxfId="219" priority="297" operator="equal">
      <formula>4</formula>
    </cfRule>
    <cfRule type="cellIs" dxfId="218" priority="296" operator="equal">
      <formula>3</formula>
    </cfRule>
    <cfRule type="cellIs" dxfId="217" priority="295" operator="equal">
      <formula>2</formula>
    </cfRule>
    <cfRule type="cellIs" dxfId="216" priority="294" operator="equal">
      <formula>1</formula>
    </cfRule>
    <cfRule type="cellIs" dxfId="215" priority="293" operator="equal">
      <formula>0</formula>
    </cfRule>
  </conditionalFormatting>
  <conditionalFormatting sqref="H260:S275">
    <cfRule type="cellIs" dxfId="214" priority="292" operator="equal">
      <formula>5</formula>
    </cfRule>
    <cfRule type="cellIs" dxfId="213" priority="291" operator="equal">
      <formula>4</formula>
    </cfRule>
    <cfRule type="cellIs" dxfId="212" priority="290" operator="equal">
      <formula>3</formula>
    </cfRule>
    <cfRule type="cellIs" dxfId="211" priority="289" operator="equal">
      <formula>2</formula>
    </cfRule>
    <cfRule type="cellIs" dxfId="210" priority="288" operator="equal">
      <formula>1</formula>
    </cfRule>
    <cfRule type="cellIs" dxfId="209" priority="287" operator="equal">
      <formula>0</formula>
    </cfRule>
  </conditionalFormatting>
  <conditionalFormatting sqref="H310:S325">
    <cfRule type="cellIs" dxfId="208" priority="283" operator="equal">
      <formula>2</formula>
    </cfRule>
    <cfRule type="cellIs" dxfId="207" priority="282" operator="equal">
      <formula>1</formula>
    </cfRule>
    <cfRule type="cellIs" dxfId="206" priority="285" operator="equal">
      <formula>4</formula>
    </cfRule>
    <cfRule type="cellIs" dxfId="205" priority="284" operator="equal">
      <formula>3</formula>
    </cfRule>
    <cfRule type="cellIs" dxfId="204" priority="281" operator="equal">
      <formula>0</formula>
    </cfRule>
    <cfRule type="cellIs" dxfId="203" priority="286" operator="equal">
      <formula>5</formula>
    </cfRule>
  </conditionalFormatting>
  <conditionalFormatting sqref="H360:S375">
    <cfRule type="cellIs" dxfId="202" priority="278" operator="equal">
      <formula>3</formula>
    </cfRule>
    <cfRule type="cellIs" dxfId="201" priority="280" operator="equal">
      <formula>5</formula>
    </cfRule>
    <cfRule type="cellIs" dxfId="200" priority="279" operator="equal">
      <formula>4</formula>
    </cfRule>
    <cfRule type="cellIs" dxfId="199" priority="277" operator="equal">
      <formula>2</formula>
    </cfRule>
    <cfRule type="cellIs" dxfId="198" priority="276" operator="equal">
      <formula>1</formula>
    </cfRule>
    <cfRule type="cellIs" dxfId="197" priority="275" operator="equal">
      <formula>0</formula>
    </cfRule>
  </conditionalFormatting>
  <conditionalFormatting sqref="H410:S425">
    <cfRule type="cellIs" dxfId="196" priority="269" operator="equal">
      <formula>0</formula>
    </cfRule>
    <cfRule type="cellIs" dxfId="195" priority="270" operator="equal">
      <formula>1</formula>
    </cfRule>
    <cfRule type="cellIs" dxfId="194" priority="271" operator="equal">
      <formula>2</formula>
    </cfRule>
    <cfRule type="cellIs" dxfId="193" priority="272" operator="equal">
      <formula>3</formula>
    </cfRule>
    <cfRule type="cellIs" dxfId="192" priority="273" operator="equal">
      <formula>4</formula>
    </cfRule>
    <cfRule type="cellIs" dxfId="191" priority="274" operator="equal">
      <formula>5</formula>
    </cfRule>
  </conditionalFormatting>
  <conditionalFormatting sqref="H460:S475">
    <cfRule type="cellIs" dxfId="190" priority="265" operator="equal">
      <formula>2</formula>
    </cfRule>
    <cfRule type="cellIs" dxfId="189" priority="264" operator="equal">
      <formula>1</formula>
    </cfRule>
    <cfRule type="cellIs" dxfId="188" priority="266" operator="equal">
      <formula>3</formula>
    </cfRule>
    <cfRule type="cellIs" dxfId="187" priority="267" operator="equal">
      <formula>4</formula>
    </cfRule>
    <cfRule type="cellIs" dxfId="186" priority="263" operator="equal">
      <formula>0</formula>
    </cfRule>
    <cfRule type="cellIs" dxfId="185" priority="268" operator="equal">
      <formula>5</formula>
    </cfRule>
  </conditionalFormatting>
  <conditionalFormatting sqref="H510:S525">
    <cfRule type="cellIs" dxfId="184" priority="261" operator="equal">
      <formula>4</formula>
    </cfRule>
    <cfRule type="cellIs" dxfId="183" priority="260" operator="equal">
      <formula>3</formula>
    </cfRule>
    <cfRule type="cellIs" dxfId="182" priority="259" operator="equal">
      <formula>2</formula>
    </cfRule>
    <cfRule type="cellIs" dxfId="181" priority="258" operator="equal">
      <formula>1</formula>
    </cfRule>
    <cfRule type="cellIs" dxfId="180" priority="257" operator="equal">
      <formula>0</formula>
    </cfRule>
    <cfRule type="cellIs" dxfId="179" priority="262" operator="equal">
      <formula>5</formula>
    </cfRule>
  </conditionalFormatting>
  <conditionalFormatting sqref="H560:S575">
    <cfRule type="cellIs" dxfId="178" priority="252" operator="equal">
      <formula>1</formula>
    </cfRule>
    <cfRule type="cellIs" dxfId="177" priority="253" operator="equal">
      <formula>2</formula>
    </cfRule>
    <cfRule type="cellIs" dxfId="176" priority="254" operator="equal">
      <formula>3</formula>
    </cfRule>
    <cfRule type="cellIs" dxfId="175" priority="255" operator="equal">
      <formula>4</formula>
    </cfRule>
    <cfRule type="cellIs" dxfId="174" priority="256" operator="equal">
      <formula>5</formula>
    </cfRule>
    <cfRule type="cellIs" dxfId="173" priority="251" operator="equal">
      <formula>0</formula>
    </cfRule>
  </conditionalFormatting>
  <conditionalFormatting sqref="H610:S625">
    <cfRule type="cellIs" dxfId="172" priority="250" operator="equal">
      <formula>5</formula>
    </cfRule>
    <cfRule type="cellIs" dxfId="171" priority="245" operator="equal">
      <formula>0</formula>
    </cfRule>
    <cfRule type="cellIs" dxfId="170" priority="246" operator="equal">
      <formula>1</formula>
    </cfRule>
    <cfRule type="cellIs" dxfId="169" priority="247" operator="equal">
      <formula>2</formula>
    </cfRule>
    <cfRule type="cellIs" dxfId="168" priority="248" operator="equal">
      <formula>3</formula>
    </cfRule>
    <cfRule type="cellIs" dxfId="167" priority="249" operator="equal">
      <formula>4</formula>
    </cfRule>
  </conditionalFormatting>
  <conditionalFormatting sqref="H660:S675">
    <cfRule type="cellIs" dxfId="166" priority="242" operator="equal">
      <formula>3</formula>
    </cfRule>
    <cfRule type="cellIs" dxfId="165" priority="244" operator="equal">
      <formula>5</formula>
    </cfRule>
    <cfRule type="cellIs" dxfId="164" priority="243" operator="equal">
      <formula>4</formula>
    </cfRule>
    <cfRule type="cellIs" dxfId="163" priority="239" operator="equal">
      <formula>0</formula>
    </cfRule>
    <cfRule type="cellIs" dxfId="162" priority="240" operator="equal">
      <formula>1</formula>
    </cfRule>
    <cfRule type="cellIs" dxfId="161" priority="241" operator="equal">
      <formula>2</formula>
    </cfRule>
  </conditionalFormatting>
  <conditionalFormatting sqref="H710:S725">
    <cfRule type="cellIs" dxfId="160" priority="236" operator="equal">
      <formula>3</formula>
    </cfRule>
    <cfRule type="cellIs" dxfId="159" priority="235" operator="equal">
      <formula>2</formula>
    </cfRule>
    <cfRule type="cellIs" dxfId="158" priority="234" operator="equal">
      <formula>1</formula>
    </cfRule>
    <cfRule type="cellIs" dxfId="157" priority="233" operator="equal">
      <formula>0</formula>
    </cfRule>
    <cfRule type="cellIs" dxfId="156" priority="237" operator="equal">
      <formula>4</formula>
    </cfRule>
    <cfRule type="cellIs" dxfId="155" priority="238" operator="equal">
      <formula>5</formula>
    </cfRule>
  </conditionalFormatting>
  <conditionalFormatting sqref="H760:S775">
    <cfRule type="cellIs" dxfId="154" priority="232" operator="equal">
      <formula>5</formula>
    </cfRule>
    <cfRule type="cellIs" dxfId="153" priority="231" operator="equal">
      <formula>4</formula>
    </cfRule>
    <cfRule type="cellIs" dxfId="152" priority="229" operator="equal">
      <formula>2</formula>
    </cfRule>
    <cfRule type="cellIs" dxfId="151" priority="228" operator="equal">
      <formula>1</formula>
    </cfRule>
    <cfRule type="cellIs" dxfId="150" priority="227" operator="equal">
      <formula>0</formula>
    </cfRule>
    <cfRule type="cellIs" dxfId="149" priority="230" operator="equal">
      <formula>3</formula>
    </cfRule>
  </conditionalFormatting>
  <conditionalFormatting sqref="J8">
    <cfRule type="cellIs" dxfId="148" priority="17" operator="equal">
      <formula>2</formula>
    </cfRule>
    <cfRule type="cellIs" dxfId="147" priority="18" operator="equal">
      <formula>3</formula>
    </cfRule>
    <cfRule type="cellIs" dxfId="146" priority="22" operator="equal">
      <formula>7</formula>
    </cfRule>
    <cfRule type="cellIs" dxfId="145" priority="30" operator="equal">
      <formula>6</formula>
    </cfRule>
    <cfRule type="cellIs" dxfId="144" priority="29" operator="equal">
      <formula>5</formula>
    </cfRule>
    <cfRule type="cellIs" dxfId="143" priority="28" operator="equal">
      <formula>4</formula>
    </cfRule>
    <cfRule type="cellIs" dxfId="142" priority="26" operator="equal">
      <formula>2</formula>
    </cfRule>
    <cfRule type="cellIs" dxfId="141" priority="25" operator="equal">
      <formula>1</formula>
    </cfRule>
    <cfRule type="cellIs" dxfId="140" priority="24" operator="equal">
      <formula>"x"</formula>
    </cfRule>
    <cfRule type="cellIs" dxfId="139" priority="27" operator="equal">
      <formula>3</formula>
    </cfRule>
    <cfRule type="cellIs" dxfId="138" priority="23" operator="equal">
      <formula>1</formula>
    </cfRule>
    <cfRule type="cellIs" dxfId="137" priority="21" operator="equal">
      <formula>6</formula>
    </cfRule>
    <cfRule type="cellIs" dxfId="136" priority="20" operator="equal">
      <formula>5</formula>
    </cfRule>
    <cfRule type="cellIs" dxfId="135" priority="19" operator="equal">
      <formula>4</formula>
    </cfRule>
  </conditionalFormatting>
  <conditionalFormatting sqref="J10 J12 J14 J16 J18 J20 J22 J24 J26 J28 J30 J32 J34 J36 J38">
    <cfRule type="cellIs" dxfId="134" priority="53" operator="equal">
      <formula>1</formula>
    </cfRule>
    <cfRule type="cellIs" dxfId="133" priority="48" operator="equal">
      <formula>5</formula>
    </cfRule>
    <cfRule type="cellIs" dxfId="132" priority="49" operator="equal">
      <formula>6</formula>
    </cfRule>
    <cfRule type="cellIs" dxfId="131" priority="50" operator="equal">
      <formula>7</formula>
    </cfRule>
    <cfRule type="cellIs" dxfId="130" priority="51" operator="equal">
      <formula>1</formula>
    </cfRule>
    <cfRule type="cellIs" dxfId="129" priority="52" operator="equal">
      <formula>"x"</formula>
    </cfRule>
    <cfRule type="cellIs" dxfId="128" priority="47" operator="equal">
      <formula>4</formula>
    </cfRule>
    <cfRule type="cellIs" dxfId="127" priority="46" operator="equal">
      <formula>3</formula>
    </cfRule>
    <cfRule type="cellIs" dxfId="126" priority="45" operator="equal">
      <formula>2</formula>
    </cfRule>
    <cfRule type="cellIs" dxfId="125" priority="58" operator="equal">
      <formula>6</formula>
    </cfRule>
    <cfRule type="cellIs" dxfId="124" priority="57" operator="equal">
      <formula>5</formula>
    </cfRule>
    <cfRule type="cellIs" dxfId="123" priority="56" operator="equal">
      <formula>4</formula>
    </cfRule>
    <cfRule type="cellIs" dxfId="122" priority="54" operator="equal">
      <formula>2</formula>
    </cfRule>
    <cfRule type="cellIs" dxfId="121" priority="55" operator="equal">
      <formula>3</formula>
    </cfRule>
  </conditionalFormatting>
  <dataValidations count="1">
    <dataValidation type="list" allowBlank="1" showInputMessage="1" showErrorMessage="1" sqref="H60:S75 H110:S125 H160:S175 H210:S225 H260:S275 H310:S325 H360:S375 H410:S425 H460:S475 H510:S525 H560:S575 H610:S625 H660:S675 H710:S725 H760:S775" xr:uid="{00000000-0002-0000-1C00-000000000000}">
      <formula1>$U$61:$U$66</formula1>
    </dataValidation>
  </dataValidations>
  <pageMargins left="0.7" right="0.7" top="0.75" bottom="0.75" header="0.3" footer="0.3"/>
  <pageSetup paperSize="9" orientation="landscape"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C00-000001000000}">
          <x14:formula1>
            <xm:f>LEGENDA!$B$5:$B$10</xm:f>
          </x14:formula1>
          <xm:sqref>H8:I9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1D354-AAAE-4991-9BE6-E591C4A0563E}">
  <sheetPr>
    <tabColor theme="2"/>
    <pageSetUpPr fitToPage="1"/>
  </sheetPr>
  <dimension ref="A1:V137"/>
  <sheetViews>
    <sheetView showGridLines="0" tabSelected="1" topLeftCell="J13" zoomScale="98" zoomScaleNormal="60" zoomScalePageLayoutView="70" workbookViewId="0">
      <selection activeCell="N15" sqref="N15:P15"/>
    </sheetView>
  </sheetViews>
  <sheetFormatPr defaultColWidth="8.54296875" defaultRowHeight="12.5" x14ac:dyDescent="0.25"/>
  <cols>
    <col min="1" max="1" width="2.453125" style="2" customWidth="1"/>
    <col min="2" max="2" width="6.54296875" customWidth="1"/>
    <col min="3" max="3" width="17.453125" customWidth="1"/>
    <col min="4" max="4" width="2.1796875" customWidth="1"/>
    <col min="5" max="5" width="12.54296875" style="183" customWidth="1"/>
    <col min="6" max="8" width="18.54296875" customWidth="1"/>
    <col min="9" max="9" width="12.54296875" style="183" customWidth="1"/>
    <col min="10" max="12" width="18.54296875" customWidth="1"/>
    <col min="13" max="13" width="14" style="183" customWidth="1"/>
    <col min="14" max="16" width="18.54296875" customWidth="1"/>
    <col min="17" max="17" width="12.54296875" style="183" customWidth="1"/>
    <col min="18" max="20" width="18.54296875" customWidth="1"/>
    <col min="21" max="23" width="9.1796875"/>
    <col min="24" max="24" width="13.1796875" customWidth="1"/>
    <col min="25" max="25" width="16" customWidth="1"/>
  </cols>
  <sheetData>
    <row r="1" spans="1:22" s="2" customFormat="1" x14ac:dyDescent="0.25">
      <c r="A1" s="100" t="s">
        <v>179</v>
      </c>
      <c r="B1" s="2" t="s">
        <v>180</v>
      </c>
      <c r="C1" s="101" t="s">
        <v>181</v>
      </c>
      <c r="D1" s="2" t="s">
        <v>59</v>
      </c>
      <c r="E1" s="100"/>
      <c r="I1" s="100"/>
      <c r="M1" s="100"/>
      <c r="Q1" s="100"/>
    </row>
    <row r="2" spans="1:22" ht="48" customHeight="1" x14ac:dyDescent="0.25">
      <c r="A2" s="107" t="s">
        <v>182</v>
      </c>
      <c r="B2" s="108"/>
      <c r="C2" s="177"/>
      <c r="D2" s="177"/>
      <c r="E2" s="498" t="s">
        <v>477</v>
      </c>
      <c r="F2" s="498"/>
      <c r="G2" s="498"/>
      <c r="H2" s="498"/>
      <c r="I2" s="498"/>
      <c r="J2" s="498"/>
      <c r="K2" s="498"/>
      <c r="L2" s="498"/>
      <c r="M2" s="498"/>
      <c r="N2" s="498"/>
      <c r="O2" s="498"/>
      <c r="P2" s="498"/>
      <c r="Q2" s="498"/>
      <c r="R2" s="499" t="s">
        <v>183</v>
      </c>
      <c r="S2" s="499"/>
      <c r="T2" s="178" t="s">
        <v>501</v>
      </c>
    </row>
    <row r="3" spans="1:22" x14ac:dyDescent="0.25">
      <c r="B3" s="1"/>
      <c r="C3" s="1"/>
      <c r="D3" s="1"/>
      <c r="E3" s="180"/>
      <c r="F3" s="1"/>
      <c r="G3" s="1"/>
      <c r="H3" s="1"/>
      <c r="I3" s="180"/>
      <c r="J3" s="1"/>
      <c r="K3" s="1"/>
      <c r="L3" s="1"/>
      <c r="M3" s="180"/>
      <c r="N3" s="1"/>
      <c r="O3" s="1"/>
      <c r="P3" s="1"/>
    </row>
    <row r="4" spans="1:22" ht="24" customHeight="1" x14ac:dyDescent="0.5">
      <c r="B4" s="500"/>
      <c r="C4" s="501"/>
      <c r="D4" s="1"/>
      <c r="E4" s="504" t="s">
        <v>184</v>
      </c>
      <c r="F4" s="504"/>
      <c r="G4" s="504"/>
      <c r="H4" s="505"/>
      <c r="I4" s="506" t="s">
        <v>185</v>
      </c>
      <c r="J4" s="504"/>
      <c r="K4" s="504"/>
      <c r="L4" s="505"/>
      <c r="M4" s="507" t="s">
        <v>186</v>
      </c>
      <c r="N4" s="508"/>
      <c r="O4" s="508"/>
      <c r="P4" s="509"/>
      <c r="Q4" s="507" t="s">
        <v>187</v>
      </c>
      <c r="R4" s="508"/>
      <c r="S4" s="508"/>
      <c r="T4" s="508"/>
    </row>
    <row r="5" spans="1:22" ht="182.5" customHeight="1" x14ac:dyDescent="0.25">
      <c r="A5" s="102" t="s">
        <v>188</v>
      </c>
      <c r="B5" s="502"/>
      <c r="C5" s="503"/>
      <c r="D5" s="1"/>
      <c r="E5" s="510" t="s">
        <v>544</v>
      </c>
      <c r="F5" s="511"/>
      <c r="G5" s="511"/>
      <c r="H5" s="512"/>
      <c r="I5" s="510" t="s">
        <v>475</v>
      </c>
      <c r="J5" s="511"/>
      <c r="K5" s="511"/>
      <c r="L5" s="512"/>
      <c r="M5" s="513" t="s">
        <v>476</v>
      </c>
      <c r="N5" s="514"/>
      <c r="O5" s="514"/>
      <c r="P5" s="515"/>
      <c r="Q5" s="516"/>
      <c r="R5" s="514"/>
      <c r="S5" s="514"/>
      <c r="T5" s="514"/>
    </row>
    <row r="6" spans="1:22" ht="13.5" thickTop="1" thickBot="1" x14ac:dyDescent="0.3">
      <c r="C6" s="1"/>
      <c r="D6" s="29"/>
      <c r="E6" s="180"/>
      <c r="F6" s="1"/>
      <c r="G6" s="1"/>
      <c r="H6" s="1"/>
      <c r="I6" s="180"/>
      <c r="J6" s="1"/>
      <c r="K6" s="1"/>
      <c r="L6" s="1"/>
      <c r="M6" s="180"/>
      <c r="N6" s="1"/>
      <c r="O6" s="1"/>
      <c r="P6" s="1"/>
      <c r="Q6" s="180"/>
      <c r="R6" s="1"/>
      <c r="S6" s="1"/>
      <c r="T6" s="1"/>
    </row>
    <row r="7" spans="1:22" ht="27" customHeight="1" thickTop="1" x14ac:dyDescent="0.25">
      <c r="A7" s="102" t="s">
        <v>57</v>
      </c>
      <c r="B7" s="517" t="s">
        <v>189</v>
      </c>
      <c r="C7" s="496" t="s">
        <v>538</v>
      </c>
      <c r="D7" s="1"/>
      <c r="E7" s="519">
        <v>1</v>
      </c>
      <c r="F7" s="520"/>
      <c r="G7" s="520"/>
      <c r="H7" s="521"/>
      <c r="I7" s="522">
        <v>2</v>
      </c>
      <c r="J7" s="523"/>
      <c r="K7" s="523"/>
      <c r="L7" s="524"/>
      <c r="M7" s="525">
        <v>3</v>
      </c>
      <c r="N7" s="526"/>
      <c r="O7" s="526"/>
      <c r="P7" s="527"/>
      <c r="Q7" s="528">
        <v>4</v>
      </c>
      <c r="R7" s="529"/>
      <c r="S7" s="529"/>
      <c r="T7" s="530"/>
    </row>
    <row r="8" spans="1:22" ht="23" x14ac:dyDescent="0.25">
      <c r="A8" s="102"/>
      <c r="B8" s="518"/>
      <c r="C8" s="497"/>
      <c r="D8" s="1"/>
      <c r="E8" s="531" t="s">
        <v>480</v>
      </c>
      <c r="F8" s="532"/>
      <c r="G8" s="532"/>
      <c r="H8" s="533"/>
      <c r="I8" s="534" t="s">
        <v>479</v>
      </c>
      <c r="J8" s="535"/>
      <c r="K8" s="535"/>
      <c r="L8" s="536"/>
      <c r="M8" s="537" t="s">
        <v>478</v>
      </c>
      <c r="N8" s="538"/>
      <c r="O8" s="538"/>
      <c r="P8" s="539"/>
      <c r="Q8" s="540" t="s">
        <v>481</v>
      </c>
      <c r="R8" s="541"/>
      <c r="S8" s="541"/>
      <c r="T8" s="542"/>
    </row>
    <row r="9" spans="1:22" ht="40.4" customHeight="1" x14ac:dyDescent="0.25">
      <c r="A9" s="102" t="s">
        <v>182</v>
      </c>
      <c r="B9" s="518"/>
      <c r="C9" s="223" t="s">
        <v>539</v>
      </c>
      <c r="D9" s="1"/>
      <c r="E9" s="543" t="s">
        <v>487</v>
      </c>
      <c r="F9" s="544"/>
      <c r="G9" s="544"/>
      <c r="H9" s="545"/>
      <c r="I9" s="546" t="s">
        <v>485</v>
      </c>
      <c r="J9" s="547"/>
      <c r="K9" s="547"/>
      <c r="L9" s="548"/>
      <c r="M9" s="549" t="s">
        <v>484</v>
      </c>
      <c r="N9" s="550"/>
      <c r="O9" s="550"/>
      <c r="P9" s="551"/>
      <c r="Q9" s="552" t="s">
        <v>483</v>
      </c>
      <c r="R9" s="553"/>
      <c r="S9" s="553"/>
      <c r="T9" s="554"/>
    </row>
    <row r="10" spans="1:22" ht="174" customHeight="1" x14ac:dyDescent="0.25">
      <c r="A10" s="102" t="s">
        <v>191</v>
      </c>
      <c r="B10" s="518"/>
      <c r="C10" s="120" t="s">
        <v>192</v>
      </c>
      <c r="D10" s="1"/>
      <c r="E10" s="555" t="s">
        <v>486</v>
      </c>
      <c r="F10" s="556"/>
      <c r="G10" s="556"/>
      <c r="H10" s="557"/>
      <c r="I10" s="558" t="s">
        <v>519</v>
      </c>
      <c r="J10" s="559"/>
      <c r="K10" s="559"/>
      <c r="L10" s="560"/>
      <c r="M10" s="561" t="s">
        <v>488</v>
      </c>
      <c r="N10" s="562"/>
      <c r="O10" s="562"/>
      <c r="P10" s="563"/>
      <c r="Q10" s="564" t="s">
        <v>482</v>
      </c>
      <c r="R10" s="565"/>
      <c r="S10" s="565"/>
      <c r="T10" s="566"/>
      <c r="V10" s="7" t="s">
        <v>193</v>
      </c>
    </row>
    <row r="11" spans="1:22" ht="13" thickBot="1" x14ac:dyDescent="0.3">
      <c r="B11" s="518"/>
      <c r="C11" s="222"/>
      <c r="D11" s="1"/>
      <c r="E11" s="180"/>
      <c r="F11" s="1"/>
      <c r="G11" s="1"/>
      <c r="H11" s="1"/>
      <c r="I11" s="180"/>
      <c r="J11" s="1"/>
      <c r="K11" s="1"/>
      <c r="L11" s="1"/>
      <c r="M11" s="180"/>
      <c r="N11" s="1"/>
      <c r="O11" s="1"/>
      <c r="P11" s="1"/>
      <c r="Q11" s="180"/>
      <c r="R11" s="1"/>
      <c r="S11" s="1"/>
      <c r="T11" s="1"/>
    </row>
    <row r="12" spans="1:22" ht="42" customHeight="1" thickTop="1" thickBot="1" x14ac:dyDescent="0.3">
      <c r="A12" s="102" t="s">
        <v>182</v>
      </c>
      <c r="B12" s="518"/>
      <c r="C12" s="220" t="s">
        <v>537</v>
      </c>
      <c r="D12" s="1"/>
      <c r="E12" s="179" t="s">
        <v>195</v>
      </c>
      <c r="F12" s="576" t="s">
        <v>521</v>
      </c>
      <c r="G12" s="577"/>
      <c r="H12" s="578"/>
      <c r="I12" s="132" t="s">
        <v>196</v>
      </c>
      <c r="J12" s="579" t="s">
        <v>503</v>
      </c>
      <c r="K12" s="580"/>
      <c r="L12" s="581"/>
      <c r="M12" s="131" t="s">
        <v>197</v>
      </c>
      <c r="N12" s="582" t="s">
        <v>490</v>
      </c>
      <c r="O12" s="583"/>
      <c r="P12" s="584"/>
      <c r="Q12" s="133" t="s">
        <v>198</v>
      </c>
      <c r="R12" s="585" t="s">
        <v>494</v>
      </c>
      <c r="S12" s="585"/>
      <c r="T12" s="585"/>
    </row>
    <row r="13" spans="1:22" ht="164.15" customHeight="1" thickTop="1" thickBot="1" x14ac:dyDescent="0.3">
      <c r="A13" s="102" t="s">
        <v>191</v>
      </c>
      <c r="B13" s="518"/>
      <c r="C13" s="221" t="s">
        <v>536</v>
      </c>
      <c r="D13" s="29"/>
      <c r="E13" s="168" t="s">
        <v>200</v>
      </c>
      <c r="F13" s="586" t="s">
        <v>522</v>
      </c>
      <c r="G13" s="587"/>
      <c r="H13" s="588"/>
      <c r="I13" s="168" t="s">
        <v>200</v>
      </c>
      <c r="J13" s="589" t="s">
        <v>509</v>
      </c>
      <c r="K13" s="590"/>
      <c r="L13" s="591"/>
      <c r="M13" s="168" t="s">
        <v>200</v>
      </c>
      <c r="N13" s="592" t="s">
        <v>489</v>
      </c>
      <c r="O13" s="593"/>
      <c r="P13" s="594"/>
      <c r="Q13" s="168" t="s">
        <v>200</v>
      </c>
      <c r="R13" s="595" t="s">
        <v>498</v>
      </c>
      <c r="S13" s="596"/>
      <c r="T13" s="597"/>
    </row>
    <row r="14" spans="1:22" ht="16.399999999999999" customHeight="1" thickTop="1" thickBot="1" x14ac:dyDescent="0.3">
      <c r="A14" s="102" t="s">
        <v>75</v>
      </c>
      <c r="B14" s="518"/>
      <c r="C14" s="220"/>
      <c r="D14" s="1"/>
      <c r="E14" s="181" t="s">
        <v>201</v>
      </c>
      <c r="F14" s="598"/>
      <c r="G14" s="599"/>
      <c r="H14" s="600"/>
      <c r="I14" s="184" t="s">
        <v>201</v>
      </c>
      <c r="J14" s="567"/>
      <c r="K14" s="568"/>
      <c r="L14" s="569"/>
      <c r="M14" s="185" t="s">
        <v>201</v>
      </c>
      <c r="N14" s="570"/>
      <c r="O14" s="571"/>
      <c r="P14" s="572"/>
      <c r="Q14" s="186" t="s">
        <v>201</v>
      </c>
      <c r="R14" s="573"/>
      <c r="S14" s="574"/>
      <c r="T14" s="575"/>
    </row>
    <row r="15" spans="1:22" ht="42" customHeight="1" thickTop="1" thickBot="1" x14ac:dyDescent="0.3">
      <c r="A15" s="102"/>
      <c r="B15" s="518"/>
      <c r="C15" s="221" t="s">
        <v>536</v>
      </c>
      <c r="D15" s="1"/>
      <c r="E15" s="179" t="s">
        <v>202</v>
      </c>
      <c r="F15" s="576" t="s">
        <v>523</v>
      </c>
      <c r="G15" s="577"/>
      <c r="H15" s="578"/>
      <c r="I15" s="132" t="s">
        <v>203</v>
      </c>
      <c r="J15" s="579" t="s">
        <v>504</v>
      </c>
      <c r="K15" s="580"/>
      <c r="L15" s="581"/>
      <c r="M15" s="131" t="s">
        <v>204</v>
      </c>
      <c r="N15" s="582" t="s">
        <v>541</v>
      </c>
      <c r="O15" s="583"/>
      <c r="P15" s="584"/>
      <c r="Q15" s="133" t="s">
        <v>205</v>
      </c>
      <c r="R15" s="585" t="s">
        <v>540</v>
      </c>
      <c r="S15" s="585"/>
      <c r="T15" s="585"/>
    </row>
    <row r="16" spans="1:22" ht="116.25" customHeight="1" thickTop="1" thickBot="1" x14ac:dyDescent="0.3">
      <c r="A16" s="102"/>
      <c r="B16" s="518"/>
      <c r="C16" s="220" t="s">
        <v>537</v>
      </c>
      <c r="D16" s="1"/>
      <c r="E16" s="168">
        <v>6</v>
      </c>
      <c r="F16" s="586" t="s">
        <v>524</v>
      </c>
      <c r="G16" s="601"/>
      <c r="H16" s="602"/>
      <c r="I16" s="168" t="s">
        <v>200</v>
      </c>
      <c r="J16" s="603" t="s">
        <v>505</v>
      </c>
      <c r="K16" s="590"/>
      <c r="L16" s="591"/>
      <c r="M16" s="168" t="s">
        <v>200</v>
      </c>
      <c r="N16" s="592" t="s">
        <v>492</v>
      </c>
      <c r="O16" s="593"/>
      <c r="P16" s="594"/>
      <c r="Q16" s="168" t="s">
        <v>200</v>
      </c>
      <c r="R16" s="604" t="s">
        <v>495</v>
      </c>
      <c r="S16" s="605"/>
      <c r="T16" s="605"/>
    </row>
    <row r="17" spans="1:22" ht="16.399999999999999" customHeight="1" thickTop="1" thickBot="1" x14ac:dyDescent="0.3">
      <c r="A17" s="102"/>
      <c r="B17" s="518"/>
      <c r="C17" s="221"/>
      <c r="D17" s="1"/>
      <c r="E17" s="181" t="s">
        <v>201</v>
      </c>
      <c r="F17" s="598"/>
      <c r="G17" s="599"/>
      <c r="H17" s="600"/>
      <c r="I17" s="184" t="s">
        <v>201</v>
      </c>
      <c r="J17" s="567"/>
      <c r="K17" s="568"/>
      <c r="L17" s="569"/>
      <c r="M17" s="185" t="s">
        <v>201</v>
      </c>
      <c r="N17" s="570"/>
      <c r="O17" s="571"/>
      <c r="P17" s="572"/>
      <c r="Q17" s="186" t="s">
        <v>201</v>
      </c>
      <c r="R17" s="573"/>
      <c r="S17" s="574"/>
      <c r="T17" s="575"/>
    </row>
    <row r="18" spans="1:22" ht="42" customHeight="1" thickTop="1" thickBot="1" x14ac:dyDescent="0.3">
      <c r="A18" s="102" t="s">
        <v>182</v>
      </c>
      <c r="B18" s="518"/>
      <c r="C18" s="220" t="s">
        <v>537</v>
      </c>
      <c r="D18" s="1"/>
      <c r="E18" s="179" t="s">
        <v>206</v>
      </c>
      <c r="F18" s="576" t="s">
        <v>525</v>
      </c>
      <c r="G18" s="577"/>
      <c r="H18" s="578"/>
      <c r="I18" s="132" t="s">
        <v>207</v>
      </c>
      <c r="J18" s="579" t="s">
        <v>543</v>
      </c>
      <c r="K18" s="580"/>
      <c r="L18" s="581"/>
      <c r="M18" s="131" t="s">
        <v>208</v>
      </c>
      <c r="N18" s="582" t="s">
        <v>507</v>
      </c>
      <c r="O18" s="583"/>
      <c r="P18" s="584"/>
      <c r="Q18" s="133" t="s">
        <v>209</v>
      </c>
      <c r="R18" s="585" t="s">
        <v>491</v>
      </c>
      <c r="S18" s="585"/>
      <c r="T18" s="585"/>
    </row>
    <row r="19" spans="1:22" ht="129.65" customHeight="1" thickTop="1" thickBot="1" x14ac:dyDescent="0.3">
      <c r="A19" s="102" t="s">
        <v>191</v>
      </c>
      <c r="B19" s="518"/>
      <c r="C19" s="221" t="s">
        <v>536</v>
      </c>
      <c r="D19" s="1"/>
      <c r="E19" s="168" t="s">
        <v>200</v>
      </c>
      <c r="F19" s="586" t="s">
        <v>531</v>
      </c>
      <c r="G19" s="601"/>
      <c r="H19" s="602"/>
      <c r="I19" s="168" t="s">
        <v>200</v>
      </c>
      <c r="J19" s="603" t="s">
        <v>508</v>
      </c>
      <c r="K19" s="590"/>
      <c r="L19" s="591"/>
      <c r="M19" s="168" t="s">
        <v>200</v>
      </c>
      <c r="N19" s="592" t="s">
        <v>506</v>
      </c>
      <c r="O19" s="593"/>
      <c r="P19" s="594"/>
      <c r="Q19" s="168" t="s">
        <v>200</v>
      </c>
      <c r="R19" s="604" t="s">
        <v>493</v>
      </c>
      <c r="S19" s="605"/>
      <c r="T19" s="605"/>
    </row>
    <row r="20" spans="1:22" ht="15.75" customHeight="1" thickTop="1" thickBot="1" x14ac:dyDescent="0.3">
      <c r="A20" s="102" t="s">
        <v>75</v>
      </c>
      <c r="B20" s="518"/>
      <c r="C20" s="220"/>
      <c r="D20" s="1"/>
      <c r="E20" s="181" t="s">
        <v>201</v>
      </c>
      <c r="F20" s="598"/>
      <c r="G20" s="599"/>
      <c r="H20" s="600"/>
      <c r="I20" s="184" t="s">
        <v>201</v>
      </c>
      <c r="J20" s="567"/>
      <c r="K20" s="568"/>
      <c r="L20" s="569"/>
      <c r="M20" s="185" t="s">
        <v>201</v>
      </c>
      <c r="N20" s="570"/>
      <c r="O20" s="571"/>
      <c r="P20" s="572"/>
      <c r="Q20" s="186" t="s">
        <v>201</v>
      </c>
      <c r="R20" s="573"/>
      <c r="S20" s="574"/>
      <c r="T20" s="575"/>
    </row>
    <row r="21" spans="1:22" ht="42" customHeight="1" thickTop="1" thickBot="1" x14ac:dyDescent="0.3">
      <c r="A21" s="102" t="s">
        <v>182</v>
      </c>
      <c r="B21" s="518"/>
      <c r="C21" s="221" t="s">
        <v>536</v>
      </c>
      <c r="D21" s="1"/>
      <c r="E21" s="179" t="s">
        <v>210</v>
      </c>
      <c r="F21" s="576" t="s">
        <v>526</v>
      </c>
      <c r="G21" s="577"/>
      <c r="H21" s="578"/>
      <c r="I21" s="132" t="s">
        <v>211</v>
      </c>
      <c r="J21" s="579" t="s">
        <v>510</v>
      </c>
      <c r="K21" s="580"/>
      <c r="L21" s="581"/>
      <c r="M21" s="131" t="s">
        <v>212</v>
      </c>
      <c r="N21" s="582" t="s">
        <v>511</v>
      </c>
      <c r="O21" s="583"/>
      <c r="P21" s="584"/>
      <c r="Q21" s="133" t="s">
        <v>213</v>
      </c>
      <c r="R21" s="608" t="s">
        <v>496</v>
      </c>
      <c r="S21" s="609"/>
      <c r="T21" s="609"/>
    </row>
    <row r="22" spans="1:22" ht="122.15" customHeight="1" thickTop="1" thickBot="1" x14ac:dyDescent="0.3">
      <c r="A22" s="102" t="s">
        <v>191</v>
      </c>
      <c r="B22" s="518"/>
      <c r="C22" s="220" t="s">
        <v>537</v>
      </c>
      <c r="D22" s="1"/>
      <c r="E22" s="168" t="s">
        <v>200</v>
      </c>
      <c r="F22" s="586" t="s">
        <v>527</v>
      </c>
      <c r="G22" s="601"/>
      <c r="H22" s="602"/>
      <c r="I22" s="168" t="s">
        <v>200</v>
      </c>
      <c r="J22" s="603" t="s">
        <v>512</v>
      </c>
      <c r="K22" s="590"/>
      <c r="L22" s="591"/>
      <c r="M22" s="168" t="s">
        <v>200</v>
      </c>
      <c r="N22" s="592" t="s">
        <v>542</v>
      </c>
      <c r="O22" s="593"/>
      <c r="P22" s="594"/>
      <c r="Q22" s="168" t="s">
        <v>200</v>
      </c>
      <c r="R22" s="606" t="s">
        <v>497</v>
      </c>
      <c r="S22" s="607"/>
      <c r="T22" s="607"/>
    </row>
    <row r="23" spans="1:22" ht="21" customHeight="1" thickTop="1" thickBot="1" x14ac:dyDescent="0.3">
      <c r="A23" s="102" t="s">
        <v>75</v>
      </c>
      <c r="B23" s="518"/>
      <c r="C23" s="221"/>
      <c r="D23" s="1"/>
      <c r="E23" s="181" t="s">
        <v>201</v>
      </c>
      <c r="F23" s="598"/>
      <c r="G23" s="599"/>
      <c r="H23" s="600"/>
      <c r="I23" s="184" t="s">
        <v>201</v>
      </c>
      <c r="J23" s="567"/>
      <c r="K23" s="568"/>
      <c r="L23" s="569"/>
      <c r="M23" s="185" t="s">
        <v>201</v>
      </c>
      <c r="N23" s="570"/>
      <c r="O23" s="571"/>
      <c r="P23" s="572"/>
      <c r="Q23" s="186" t="s">
        <v>201</v>
      </c>
      <c r="R23" s="573"/>
      <c r="S23" s="574"/>
      <c r="T23" s="575"/>
    </row>
    <row r="24" spans="1:22" ht="42" customHeight="1" thickTop="1" thickBot="1" x14ac:dyDescent="0.3">
      <c r="A24" s="102" t="s">
        <v>182</v>
      </c>
      <c r="B24" s="518"/>
      <c r="C24" s="220" t="s">
        <v>537</v>
      </c>
      <c r="D24" s="1"/>
      <c r="E24" s="179" t="s">
        <v>214</v>
      </c>
      <c r="F24" s="576" t="s">
        <v>520</v>
      </c>
      <c r="G24" s="577"/>
      <c r="H24" s="578"/>
      <c r="I24" s="132" t="s">
        <v>215</v>
      </c>
      <c r="J24" s="579" t="s">
        <v>513</v>
      </c>
      <c r="K24" s="580"/>
      <c r="L24" s="581"/>
      <c r="M24" s="131" t="s">
        <v>216</v>
      </c>
      <c r="N24" s="582" t="s">
        <v>502</v>
      </c>
      <c r="O24" s="583"/>
      <c r="P24" s="584"/>
      <c r="Q24" s="133" t="s">
        <v>217</v>
      </c>
      <c r="R24" s="608" t="s">
        <v>499</v>
      </c>
      <c r="S24" s="609"/>
      <c r="T24" s="609"/>
    </row>
    <row r="25" spans="1:22" ht="122.25" customHeight="1" thickTop="1" thickBot="1" x14ac:dyDescent="0.3">
      <c r="A25" s="102" t="s">
        <v>191</v>
      </c>
      <c r="B25" s="518"/>
      <c r="C25" s="221" t="s">
        <v>536</v>
      </c>
      <c r="D25" s="1"/>
      <c r="E25" s="168" t="s">
        <v>200</v>
      </c>
      <c r="F25" s="586" t="s">
        <v>528</v>
      </c>
      <c r="G25" s="601"/>
      <c r="H25" s="602"/>
      <c r="I25" s="168" t="s">
        <v>200</v>
      </c>
      <c r="J25" s="603" t="s">
        <v>514</v>
      </c>
      <c r="K25" s="590"/>
      <c r="L25" s="591"/>
      <c r="M25" s="168" t="s">
        <v>200</v>
      </c>
      <c r="N25" s="610" t="s">
        <v>534</v>
      </c>
      <c r="O25" s="611"/>
      <c r="P25" s="612"/>
      <c r="Q25" s="168" t="s">
        <v>200</v>
      </c>
      <c r="R25" s="606" t="s">
        <v>500</v>
      </c>
      <c r="S25" s="607"/>
      <c r="T25" s="607"/>
    </row>
    <row r="26" spans="1:22" ht="17.149999999999999" customHeight="1" thickTop="1" thickBot="1" x14ac:dyDescent="0.3">
      <c r="A26" s="102" t="s">
        <v>75</v>
      </c>
      <c r="B26" s="518"/>
      <c r="C26" s="220"/>
      <c r="D26" s="1"/>
      <c r="E26" s="181" t="s">
        <v>201</v>
      </c>
      <c r="F26" s="598"/>
      <c r="G26" s="599"/>
      <c r="H26" s="600"/>
      <c r="I26" s="184" t="s">
        <v>201</v>
      </c>
      <c r="J26" s="567"/>
      <c r="K26" s="568"/>
      <c r="L26" s="569"/>
      <c r="M26" s="185" t="s">
        <v>201</v>
      </c>
      <c r="N26" s="570"/>
      <c r="O26" s="571"/>
      <c r="P26" s="572"/>
      <c r="Q26" s="186" t="s">
        <v>201</v>
      </c>
      <c r="R26" s="573"/>
      <c r="S26" s="574"/>
      <c r="T26" s="575"/>
    </row>
    <row r="27" spans="1:22" ht="42" customHeight="1" thickTop="1" thickBot="1" x14ac:dyDescent="0.3">
      <c r="A27" s="102" t="s">
        <v>182</v>
      </c>
      <c r="B27" s="518"/>
      <c r="C27" s="221" t="s">
        <v>536</v>
      </c>
      <c r="D27" s="1"/>
      <c r="E27" s="179" t="s">
        <v>218</v>
      </c>
      <c r="F27" s="576" t="s">
        <v>529</v>
      </c>
      <c r="G27" s="577"/>
      <c r="H27" s="578"/>
      <c r="I27" s="132" t="s">
        <v>219</v>
      </c>
      <c r="J27" s="579" t="s">
        <v>516</v>
      </c>
      <c r="K27" s="580"/>
      <c r="L27" s="581"/>
      <c r="M27" s="131" t="s">
        <v>220</v>
      </c>
      <c r="N27" s="582" t="s">
        <v>517</v>
      </c>
      <c r="O27" s="583"/>
      <c r="P27" s="584"/>
      <c r="Q27" s="133" t="s">
        <v>221</v>
      </c>
      <c r="R27" s="613" t="s">
        <v>532</v>
      </c>
      <c r="S27" s="614"/>
      <c r="T27" s="615"/>
    </row>
    <row r="28" spans="1:22" ht="138" customHeight="1" thickTop="1" thickBot="1" x14ac:dyDescent="0.35">
      <c r="A28" s="102" t="s">
        <v>191</v>
      </c>
      <c r="B28" s="518"/>
      <c r="C28" s="220" t="s">
        <v>537</v>
      </c>
      <c r="D28" s="1"/>
      <c r="E28" s="168" t="s">
        <v>200</v>
      </c>
      <c r="F28" s="616" t="s">
        <v>530</v>
      </c>
      <c r="G28" s="617"/>
      <c r="H28" s="618"/>
      <c r="I28" s="168" t="s">
        <v>200</v>
      </c>
      <c r="J28" s="603" t="s">
        <v>515</v>
      </c>
      <c r="K28" s="590"/>
      <c r="L28" s="591"/>
      <c r="M28" s="168" t="s">
        <v>200</v>
      </c>
      <c r="N28" s="592" t="s">
        <v>518</v>
      </c>
      <c r="O28" s="593"/>
      <c r="P28" s="594"/>
      <c r="Q28" s="168" t="s">
        <v>200</v>
      </c>
      <c r="R28" s="619" t="s">
        <v>533</v>
      </c>
      <c r="S28" s="620"/>
      <c r="T28" s="620"/>
      <c r="V28" s="219"/>
    </row>
    <row r="29" spans="1:22" ht="27.65" customHeight="1" thickTop="1" thickBot="1" x14ac:dyDescent="0.3">
      <c r="A29" s="102"/>
      <c r="B29" s="518"/>
      <c r="C29" s="221"/>
      <c r="D29" s="1"/>
      <c r="E29" s="181" t="s">
        <v>201</v>
      </c>
      <c r="F29" s="598"/>
      <c r="G29" s="599"/>
      <c r="H29" s="600"/>
      <c r="I29" s="184" t="s">
        <v>201</v>
      </c>
      <c r="J29" s="567"/>
      <c r="K29" s="568"/>
      <c r="L29" s="569"/>
      <c r="M29" s="185" t="s">
        <v>201</v>
      </c>
      <c r="N29" s="570"/>
      <c r="O29" s="571"/>
      <c r="P29" s="572"/>
      <c r="Q29" s="186" t="s">
        <v>201</v>
      </c>
      <c r="R29" s="626"/>
      <c r="S29" s="627"/>
      <c r="T29" s="628"/>
    </row>
    <row r="30" spans="1:22" ht="51.65" customHeight="1" thickTop="1" thickBot="1" x14ac:dyDescent="0.3">
      <c r="A30" s="102"/>
      <c r="B30" s="518"/>
      <c r="C30" s="220" t="s">
        <v>537</v>
      </c>
      <c r="D30" s="1"/>
      <c r="E30" s="179" t="s">
        <v>222</v>
      </c>
      <c r="F30" s="629"/>
      <c r="G30" s="630"/>
      <c r="H30" s="631"/>
      <c r="I30" s="132" t="s">
        <v>223</v>
      </c>
      <c r="J30" s="579"/>
      <c r="K30" s="580"/>
      <c r="L30" s="581"/>
      <c r="M30" s="131" t="s">
        <v>224</v>
      </c>
      <c r="N30" s="582"/>
      <c r="O30" s="583"/>
      <c r="P30" s="584"/>
      <c r="Q30" s="133"/>
      <c r="R30" s="613"/>
      <c r="S30" s="614"/>
      <c r="T30" s="615"/>
    </row>
    <row r="31" spans="1:22" ht="120" customHeight="1" thickTop="1" thickBot="1" x14ac:dyDescent="0.3">
      <c r="A31" s="102"/>
      <c r="B31" s="518"/>
      <c r="C31" s="221" t="s">
        <v>536</v>
      </c>
      <c r="D31" s="1"/>
      <c r="E31" s="168" t="s">
        <v>200</v>
      </c>
      <c r="F31" s="621"/>
      <c r="G31" s="617"/>
      <c r="H31" s="618"/>
      <c r="I31" s="168" t="s">
        <v>200</v>
      </c>
      <c r="J31" s="622"/>
      <c r="K31" s="623"/>
      <c r="L31" s="624"/>
      <c r="M31" s="168" t="s">
        <v>200</v>
      </c>
      <c r="N31" s="625"/>
      <c r="O31" s="593"/>
      <c r="P31" s="594"/>
      <c r="Q31" s="168" t="s">
        <v>200</v>
      </c>
      <c r="R31" s="595"/>
      <c r="S31" s="596"/>
      <c r="T31" s="597"/>
    </row>
    <row r="32" spans="1:22" ht="15.65" customHeight="1" thickTop="1" thickBot="1" x14ac:dyDescent="0.3">
      <c r="A32" s="102"/>
      <c r="B32" s="518"/>
      <c r="C32" s="220"/>
      <c r="D32" s="1"/>
      <c r="E32" s="181" t="s">
        <v>201</v>
      </c>
      <c r="F32" s="598"/>
      <c r="G32" s="599"/>
      <c r="H32" s="600"/>
      <c r="I32" s="184" t="s">
        <v>201</v>
      </c>
      <c r="J32" s="567"/>
      <c r="K32" s="568"/>
      <c r="L32" s="569"/>
      <c r="M32" s="185" t="s">
        <v>201</v>
      </c>
      <c r="N32" s="570"/>
      <c r="O32" s="571"/>
      <c r="P32" s="572"/>
      <c r="Q32" s="186" t="s">
        <v>201</v>
      </c>
      <c r="R32" s="573"/>
      <c r="S32" s="574"/>
      <c r="T32" s="575"/>
    </row>
    <row r="33" spans="1:20" ht="49.4" hidden="1" customHeight="1" thickTop="1" thickBot="1" x14ac:dyDescent="0.3">
      <c r="A33" s="102"/>
      <c r="B33" s="518"/>
      <c r="C33" s="221" t="s">
        <v>535</v>
      </c>
      <c r="D33" s="1"/>
      <c r="E33" s="179" t="s">
        <v>225</v>
      </c>
      <c r="F33" s="633"/>
      <c r="G33" s="634"/>
      <c r="H33" s="635"/>
      <c r="I33" s="132"/>
      <c r="J33" s="579"/>
      <c r="K33" s="580"/>
      <c r="L33" s="581"/>
      <c r="M33" s="131" t="s">
        <v>226</v>
      </c>
      <c r="N33" s="582"/>
      <c r="O33" s="583"/>
      <c r="P33" s="584"/>
      <c r="Q33" s="133"/>
      <c r="R33" s="613"/>
      <c r="S33" s="614"/>
      <c r="T33" s="615"/>
    </row>
    <row r="34" spans="1:20" ht="120" hidden="1" customHeight="1" thickTop="1" thickBot="1" x14ac:dyDescent="0.3">
      <c r="A34" s="102"/>
      <c r="B34" s="518"/>
      <c r="C34" s="221"/>
      <c r="D34" s="1"/>
      <c r="E34" s="169" t="s">
        <v>200</v>
      </c>
      <c r="F34" s="621"/>
      <c r="G34" s="617"/>
      <c r="H34" s="618"/>
      <c r="I34" s="168" t="s">
        <v>200</v>
      </c>
      <c r="J34" s="622"/>
      <c r="K34" s="623"/>
      <c r="L34" s="624"/>
      <c r="M34" s="168" t="s">
        <v>200</v>
      </c>
      <c r="N34" s="625"/>
      <c r="O34" s="593"/>
      <c r="P34" s="594"/>
      <c r="Q34" s="168" t="s">
        <v>200</v>
      </c>
      <c r="R34" s="606"/>
      <c r="S34" s="607"/>
      <c r="T34" s="636"/>
    </row>
    <row r="35" spans="1:20" ht="26.5" hidden="1" customHeight="1" thickTop="1" thickBot="1" x14ac:dyDescent="0.3">
      <c r="A35" s="102" t="s">
        <v>75</v>
      </c>
      <c r="B35" s="518"/>
      <c r="C35" s="221" t="s">
        <v>535</v>
      </c>
      <c r="D35" s="1"/>
      <c r="E35" s="181" t="s">
        <v>201</v>
      </c>
      <c r="F35" s="598"/>
      <c r="G35" s="599"/>
      <c r="H35" s="600"/>
      <c r="I35" s="184"/>
      <c r="J35" s="567"/>
      <c r="K35" s="568"/>
      <c r="L35" s="569"/>
      <c r="M35" s="185" t="s">
        <v>201</v>
      </c>
      <c r="N35" s="570"/>
      <c r="O35" s="571"/>
      <c r="P35" s="572"/>
      <c r="Q35" s="186" t="s">
        <v>201</v>
      </c>
      <c r="R35" s="573"/>
      <c r="S35" s="574"/>
      <c r="T35" s="575"/>
    </row>
    <row r="36" spans="1:20" ht="42" hidden="1" customHeight="1" thickTop="1" thickBot="1" x14ac:dyDescent="0.3">
      <c r="A36" s="102"/>
      <c r="B36" s="121"/>
      <c r="C36" s="221" t="s">
        <v>536</v>
      </c>
      <c r="D36" s="1"/>
      <c r="E36" s="179"/>
      <c r="F36" s="576"/>
      <c r="G36" s="577"/>
      <c r="H36" s="578"/>
      <c r="I36" s="132"/>
      <c r="J36" s="579"/>
      <c r="K36" s="580"/>
      <c r="L36" s="581"/>
      <c r="M36" s="131" t="s">
        <v>227</v>
      </c>
      <c r="N36" s="632"/>
      <c r="O36" s="632"/>
      <c r="P36" s="632"/>
      <c r="Q36" s="133"/>
      <c r="R36" s="613"/>
      <c r="S36" s="614"/>
      <c r="T36" s="615"/>
    </row>
    <row r="37" spans="1:20" ht="120" hidden="1" customHeight="1" thickTop="1" thickBot="1" x14ac:dyDescent="0.3">
      <c r="A37" s="102"/>
      <c r="B37" s="121"/>
      <c r="C37" s="221"/>
      <c r="D37" s="1"/>
      <c r="E37" s="168" t="s">
        <v>200</v>
      </c>
      <c r="F37" s="644"/>
      <c r="G37" s="638"/>
      <c r="H37" s="639"/>
      <c r="I37" s="168" t="s">
        <v>200</v>
      </c>
      <c r="J37" s="622"/>
      <c r="K37" s="623"/>
      <c r="L37" s="624"/>
      <c r="M37" s="168" t="s">
        <v>200</v>
      </c>
      <c r="N37" s="625"/>
      <c r="O37" s="593"/>
      <c r="P37" s="594"/>
      <c r="Q37" s="168" t="s">
        <v>200</v>
      </c>
      <c r="R37" s="595"/>
      <c r="S37" s="596"/>
      <c r="T37" s="597"/>
    </row>
    <row r="38" spans="1:20" ht="18.649999999999999" hidden="1" customHeight="1" thickTop="1" thickBot="1" x14ac:dyDescent="0.3">
      <c r="A38" s="102" t="s">
        <v>75</v>
      </c>
      <c r="B38" s="121"/>
      <c r="C38" s="221"/>
      <c r="D38" s="1"/>
      <c r="E38" s="181" t="s">
        <v>201</v>
      </c>
      <c r="F38" s="598"/>
      <c r="G38" s="599"/>
      <c r="H38" s="600"/>
      <c r="I38" s="184"/>
      <c r="J38" s="567"/>
      <c r="K38" s="568"/>
      <c r="L38" s="569"/>
      <c r="M38" s="185"/>
      <c r="N38" s="570"/>
      <c r="O38" s="571"/>
      <c r="P38" s="572"/>
      <c r="Q38" s="186" t="s">
        <v>201</v>
      </c>
      <c r="R38" s="573"/>
      <c r="S38" s="574"/>
      <c r="T38" s="575"/>
    </row>
    <row r="39" spans="1:20" ht="42" hidden="1" customHeight="1" x14ac:dyDescent="0.25">
      <c r="A39" s="102"/>
      <c r="B39" s="121"/>
      <c r="C39" s="221"/>
      <c r="D39" s="1"/>
      <c r="E39" s="179"/>
      <c r="F39" s="576"/>
      <c r="G39" s="577"/>
      <c r="H39" s="578"/>
      <c r="I39" s="132"/>
      <c r="J39" s="579"/>
      <c r="K39" s="580"/>
      <c r="L39" s="581"/>
      <c r="M39" s="131"/>
      <c r="N39" s="582"/>
      <c r="O39" s="583"/>
      <c r="P39" s="584"/>
      <c r="Q39" s="133"/>
      <c r="R39" s="613"/>
      <c r="S39" s="614"/>
      <c r="T39" s="615"/>
    </row>
    <row r="40" spans="1:20" ht="120" hidden="1" customHeight="1" x14ac:dyDescent="0.25">
      <c r="A40" s="102"/>
      <c r="B40" s="121"/>
      <c r="C40" s="221"/>
      <c r="D40" s="1"/>
      <c r="E40" s="168" t="s">
        <v>200</v>
      </c>
      <c r="F40" s="637"/>
      <c r="G40" s="638"/>
      <c r="H40" s="639"/>
      <c r="I40" s="168" t="s">
        <v>200</v>
      </c>
      <c r="J40" s="622"/>
      <c r="K40" s="623"/>
      <c r="L40" s="624"/>
      <c r="M40" s="168" t="s">
        <v>200</v>
      </c>
      <c r="N40" s="640"/>
      <c r="O40" s="593"/>
      <c r="P40" s="594"/>
      <c r="Q40" s="168" t="s">
        <v>200</v>
      </c>
      <c r="R40" s="641"/>
      <c r="S40" s="642"/>
      <c r="T40" s="643"/>
    </row>
    <row r="41" spans="1:20" ht="18.649999999999999" hidden="1" customHeight="1" x14ac:dyDescent="0.25">
      <c r="A41" s="102" t="s">
        <v>75</v>
      </c>
      <c r="B41" s="121"/>
      <c r="C41" s="221"/>
      <c r="D41" s="1"/>
      <c r="E41" s="181" t="s">
        <v>201</v>
      </c>
      <c r="F41" s="598"/>
      <c r="G41" s="599"/>
      <c r="H41" s="600"/>
      <c r="I41" s="184"/>
      <c r="J41" s="567"/>
      <c r="K41" s="568"/>
      <c r="L41" s="569"/>
      <c r="M41" s="185"/>
      <c r="N41" s="570"/>
      <c r="O41" s="571"/>
      <c r="P41" s="572"/>
      <c r="Q41" s="186"/>
      <c r="R41" s="573"/>
      <c r="S41" s="574"/>
      <c r="T41" s="575"/>
    </row>
    <row r="42" spans="1:20" ht="42" hidden="1" customHeight="1" x14ac:dyDescent="0.25">
      <c r="A42" s="102"/>
      <c r="B42" s="121"/>
      <c r="C42" s="221"/>
      <c r="D42" s="1"/>
      <c r="E42" s="179"/>
      <c r="F42" s="576"/>
      <c r="G42" s="577"/>
      <c r="H42" s="578"/>
      <c r="I42" s="132"/>
      <c r="J42" s="579"/>
      <c r="K42" s="580"/>
      <c r="L42" s="581"/>
      <c r="M42" s="131"/>
      <c r="N42" s="582"/>
      <c r="O42" s="583"/>
      <c r="P42" s="584"/>
      <c r="Q42" s="133"/>
      <c r="R42" s="613"/>
      <c r="S42" s="614"/>
      <c r="T42" s="615"/>
    </row>
    <row r="43" spans="1:20" ht="120" hidden="1" customHeight="1" x14ac:dyDescent="0.25">
      <c r="A43" s="102"/>
      <c r="B43" s="121"/>
      <c r="C43" s="221"/>
      <c r="D43" s="1"/>
      <c r="E43" s="168" t="s">
        <v>200</v>
      </c>
      <c r="F43" s="637"/>
      <c r="G43" s="638"/>
      <c r="H43" s="639"/>
      <c r="I43" s="168" t="s">
        <v>200</v>
      </c>
      <c r="J43" s="622"/>
      <c r="K43" s="623"/>
      <c r="L43" s="624"/>
      <c r="M43" s="168" t="s">
        <v>200</v>
      </c>
      <c r="N43" s="645"/>
      <c r="O43" s="646"/>
      <c r="P43" s="647"/>
      <c r="Q43" s="168" t="s">
        <v>200</v>
      </c>
      <c r="R43" s="641"/>
      <c r="S43" s="642"/>
      <c r="T43" s="643"/>
    </row>
    <row r="44" spans="1:20" ht="18" hidden="1" x14ac:dyDescent="0.25">
      <c r="A44" s="102"/>
      <c r="B44" s="121"/>
      <c r="C44" s="123"/>
      <c r="D44" s="1"/>
      <c r="E44" s="181"/>
      <c r="F44" s="598"/>
      <c r="G44" s="599"/>
      <c r="H44" s="600"/>
      <c r="I44" s="184"/>
      <c r="J44" s="567"/>
      <c r="K44" s="568"/>
      <c r="L44" s="569"/>
      <c r="M44" s="185"/>
      <c r="N44" s="570"/>
      <c r="O44" s="571"/>
      <c r="P44" s="572"/>
      <c r="Q44" s="186"/>
      <c r="R44" s="573"/>
      <c r="S44" s="574"/>
      <c r="T44" s="575"/>
    </row>
    <row r="45" spans="1:20" ht="16.5" thickTop="1" thickBot="1" x14ac:dyDescent="0.3">
      <c r="A45" s="102"/>
      <c r="B45" s="106"/>
      <c r="C45" s="105"/>
      <c r="D45" s="1"/>
      <c r="E45" s="182"/>
      <c r="F45" s="117"/>
      <c r="G45" s="118"/>
      <c r="H45" s="119"/>
      <c r="I45" s="182"/>
      <c r="J45" s="117"/>
      <c r="K45" s="118"/>
      <c r="L45" s="119"/>
      <c r="M45" s="182"/>
      <c r="N45" s="117"/>
      <c r="O45" s="118"/>
      <c r="P45" s="119"/>
      <c r="Q45" s="187"/>
      <c r="R45" s="119"/>
      <c r="S45" s="119"/>
      <c r="T45" s="119"/>
    </row>
    <row r="46" spans="1:20" ht="40.4" customHeight="1" thickTop="1" thickBot="1" x14ac:dyDescent="0.3">
      <c r="B46" s="106"/>
      <c r="C46" s="658" t="s">
        <v>228</v>
      </c>
      <c r="D46" s="1"/>
      <c r="E46" s="168" t="s">
        <v>200</v>
      </c>
      <c r="F46" s="661"/>
      <c r="G46" s="662"/>
      <c r="H46" s="148"/>
      <c r="I46" s="168" t="s">
        <v>200</v>
      </c>
      <c r="J46" s="663"/>
      <c r="K46" s="664"/>
      <c r="L46" s="149"/>
      <c r="M46" s="168" t="s">
        <v>200</v>
      </c>
      <c r="N46" s="665"/>
      <c r="O46" s="666"/>
      <c r="P46" s="163"/>
      <c r="Q46" s="168" t="s">
        <v>200</v>
      </c>
      <c r="R46" s="667"/>
      <c r="S46" s="668"/>
      <c r="T46" s="150"/>
    </row>
    <row r="47" spans="1:20" ht="40.4" customHeight="1" x14ac:dyDescent="0.25">
      <c r="B47" s="106"/>
      <c r="C47" s="659"/>
      <c r="D47" s="1"/>
      <c r="E47" s="168" t="s">
        <v>200</v>
      </c>
      <c r="F47" s="654"/>
      <c r="G47" s="655"/>
      <c r="H47" s="155"/>
      <c r="I47" s="168" t="s">
        <v>200</v>
      </c>
      <c r="J47" s="648"/>
      <c r="K47" s="649"/>
      <c r="L47" s="167"/>
      <c r="M47" s="168" t="s">
        <v>200</v>
      </c>
      <c r="N47" s="669"/>
      <c r="O47" s="651"/>
      <c r="P47" s="218"/>
      <c r="Q47" s="168" t="s">
        <v>200</v>
      </c>
      <c r="R47" s="652"/>
      <c r="S47" s="653"/>
      <c r="T47" s="153"/>
    </row>
    <row r="48" spans="1:20" ht="44" x14ac:dyDescent="0.25">
      <c r="B48" s="106"/>
      <c r="C48" s="659"/>
      <c r="D48" s="1"/>
      <c r="E48" s="168" t="s">
        <v>200</v>
      </c>
      <c r="F48" s="654"/>
      <c r="G48" s="655"/>
      <c r="H48" s="155"/>
      <c r="I48" s="168" t="s">
        <v>200</v>
      </c>
      <c r="J48" s="648"/>
      <c r="K48" s="649"/>
      <c r="L48" s="167"/>
      <c r="M48" s="168" t="s">
        <v>200</v>
      </c>
      <c r="N48" s="650"/>
      <c r="O48" s="651"/>
      <c r="P48" s="157"/>
      <c r="Q48" s="168" t="s">
        <v>200</v>
      </c>
      <c r="R48" s="652"/>
      <c r="S48" s="653"/>
      <c r="T48" s="153"/>
    </row>
    <row r="49" spans="2:20" ht="44" x14ac:dyDescent="0.25">
      <c r="B49" s="106"/>
      <c r="C49" s="659"/>
      <c r="D49" s="1"/>
      <c r="E49" s="168" t="s">
        <v>200</v>
      </c>
      <c r="F49" s="654"/>
      <c r="G49" s="655"/>
      <c r="H49" s="155"/>
      <c r="I49" s="168" t="s">
        <v>200</v>
      </c>
      <c r="J49" s="648"/>
      <c r="K49" s="649"/>
      <c r="L49" s="156"/>
      <c r="M49" s="168" t="s">
        <v>200</v>
      </c>
      <c r="N49" s="650"/>
      <c r="O49" s="651"/>
      <c r="P49" s="157"/>
      <c r="Q49" s="168" t="s">
        <v>200</v>
      </c>
      <c r="R49" s="656"/>
      <c r="S49" s="657"/>
      <c r="T49" s="153"/>
    </row>
    <row r="50" spans="2:20" ht="40.4" customHeight="1" x14ac:dyDescent="0.25">
      <c r="B50" s="106"/>
      <c r="C50" s="659"/>
      <c r="D50" s="1"/>
      <c r="E50" s="168" t="s">
        <v>200</v>
      </c>
      <c r="F50" s="654"/>
      <c r="G50" s="655"/>
      <c r="H50" s="158"/>
      <c r="I50" s="168" t="s">
        <v>200</v>
      </c>
      <c r="J50" s="648"/>
      <c r="K50" s="649"/>
      <c r="L50" s="156"/>
      <c r="M50" s="168" t="s">
        <v>200</v>
      </c>
      <c r="N50" s="650"/>
      <c r="O50" s="651"/>
      <c r="P50" s="152"/>
      <c r="Q50" s="168" t="s">
        <v>200</v>
      </c>
      <c r="R50" s="652"/>
      <c r="S50" s="653"/>
      <c r="T50" s="153"/>
    </row>
    <row r="51" spans="2:20" ht="44" x14ac:dyDescent="0.25">
      <c r="B51" s="106"/>
      <c r="C51" s="659"/>
      <c r="D51" s="1"/>
      <c r="E51" s="168" t="s">
        <v>200</v>
      </c>
      <c r="F51" s="654"/>
      <c r="G51" s="655"/>
      <c r="H51" s="162"/>
      <c r="I51" s="168" t="s">
        <v>200</v>
      </c>
      <c r="J51" s="648"/>
      <c r="K51" s="649"/>
      <c r="L51" s="156"/>
      <c r="M51" s="168" t="s">
        <v>200</v>
      </c>
      <c r="N51" s="669"/>
      <c r="O51" s="651"/>
      <c r="P51" s="157"/>
      <c r="Q51" s="168" t="s">
        <v>200</v>
      </c>
      <c r="R51" s="652"/>
      <c r="S51" s="653"/>
      <c r="T51" s="153"/>
    </row>
    <row r="52" spans="2:20" ht="44" x14ac:dyDescent="0.25">
      <c r="B52" s="106"/>
      <c r="C52" s="659"/>
      <c r="D52" s="1"/>
      <c r="E52" s="168" t="s">
        <v>200</v>
      </c>
      <c r="F52" s="654"/>
      <c r="G52" s="655"/>
      <c r="H52" s="172"/>
      <c r="I52" s="168" t="s">
        <v>200</v>
      </c>
      <c r="J52" s="648"/>
      <c r="K52" s="649"/>
      <c r="L52" s="156"/>
      <c r="M52" s="168" t="s">
        <v>200</v>
      </c>
      <c r="N52" s="650"/>
      <c r="O52" s="651"/>
      <c r="P52" s="152"/>
      <c r="Q52" s="168" t="s">
        <v>200</v>
      </c>
      <c r="R52" s="670"/>
      <c r="S52" s="653"/>
      <c r="T52" s="175"/>
    </row>
    <row r="53" spans="2:20" ht="40.4" customHeight="1" x14ac:dyDescent="0.25">
      <c r="B53" s="106"/>
      <c r="C53" s="659"/>
      <c r="E53" s="168" t="s">
        <v>200</v>
      </c>
      <c r="F53" s="654"/>
      <c r="G53" s="655"/>
      <c r="H53" s="158"/>
      <c r="I53" s="168" t="s">
        <v>200</v>
      </c>
      <c r="J53" s="648"/>
      <c r="K53" s="649"/>
      <c r="L53" s="156"/>
      <c r="M53" s="168" t="s">
        <v>200</v>
      </c>
      <c r="N53" s="669"/>
      <c r="O53" s="651"/>
      <c r="P53" s="152"/>
      <c r="Q53" s="168" t="s">
        <v>200</v>
      </c>
      <c r="R53" s="652"/>
      <c r="S53" s="653"/>
      <c r="T53" s="153"/>
    </row>
    <row r="54" spans="2:20" ht="40.4" customHeight="1" x14ac:dyDescent="0.25">
      <c r="B54" s="106"/>
      <c r="C54" s="659"/>
      <c r="E54" s="168" t="s">
        <v>200</v>
      </c>
      <c r="F54" s="654"/>
      <c r="G54" s="655"/>
      <c r="H54" s="158"/>
      <c r="I54" s="168" t="s">
        <v>200</v>
      </c>
      <c r="J54" s="671"/>
      <c r="K54" s="672"/>
      <c r="L54" s="156"/>
      <c r="M54" s="168" t="s">
        <v>200</v>
      </c>
      <c r="N54" s="669"/>
      <c r="O54" s="651"/>
      <c r="P54" s="157"/>
      <c r="Q54" s="168" t="s">
        <v>200</v>
      </c>
      <c r="R54" s="670"/>
      <c r="S54" s="653"/>
      <c r="T54" s="153"/>
    </row>
    <row r="55" spans="2:20" ht="40.4" customHeight="1" x14ac:dyDescent="0.25">
      <c r="B55" s="106"/>
      <c r="C55" s="659"/>
      <c r="E55" s="168" t="s">
        <v>200</v>
      </c>
      <c r="F55" s="654"/>
      <c r="G55" s="655"/>
      <c r="H55" s="172"/>
      <c r="I55" s="168" t="s">
        <v>200</v>
      </c>
      <c r="J55" s="648"/>
      <c r="K55" s="649"/>
      <c r="L55" s="156"/>
      <c r="M55" s="168" t="s">
        <v>200</v>
      </c>
      <c r="N55" s="669"/>
      <c r="O55" s="651"/>
      <c r="P55" s="161"/>
      <c r="Q55" s="168" t="s">
        <v>200</v>
      </c>
      <c r="R55" s="670"/>
      <c r="S55" s="653"/>
      <c r="T55" s="153"/>
    </row>
    <row r="56" spans="2:20" ht="40.4" customHeight="1" x14ac:dyDescent="0.25">
      <c r="B56" s="106"/>
      <c r="C56" s="659"/>
      <c r="E56" s="168" t="s">
        <v>200</v>
      </c>
      <c r="F56" s="654"/>
      <c r="G56" s="655"/>
      <c r="H56" s="176"/>
      <c r="I56" s="168" t="s">
        <v>200</v>
      </c>
      <c r="J56" s="648"/>
      <c r="K56" s="649"/>
      <c r="L56" s="166"/>
      <c r="M56" s="168" t="s">
        <v>200</v>
      </c>
      <c r="N56" s="669"/>
      <c r="O56" s="651"/>
      <c r="P56" s="161"/>
      <c r="Q56" s="168" t="s">
        <v>200</v>
      </c>
      <c r="R56" s="652"/>
      <c r="S56" s="653"/>
      <c r="T56" s="153"/>
    </row>
    <row r="57" spans="2:20" ht="40.4" customHeight="1" x14ac:dyDescent="0.25">
      <c r="B57" s="106"/>
      <c r="C57" s="659"/>
      <c r="E57" s="168" t="s">
        <v>200</v>
      </c>
      <c r="F57" s="654"/>
      <c r="G57" s="655"/>
      <c r="H57" s="176"/>
      <c r="I57" s="168" t="s">
        <v>200</v>
      </c>
      <c r="J57" s="648"/>
      <c r="K57" s="649"/>
      <c r="L57" s="156"/>
      <c r="M57" s="168" t="s">
        <v>200</v>
      </c>
      <c r="N57" s="669"/>
      <c r="O57" s="651"/>
      <c r="P57" s="161"/>
      <c r="Q57" s="168" t="s">
        <v>200</v>
      </c>
      <c r="R57" s="652"/>
      <c r="S57" s="653"/>
      <c r="T57" s="153"/>
    </row>
    <row r="58" spans="2:20" ht="40.4" customHeight="1" x14ac:dyDescent="0.25">
      <c r="B58" s="106"/>
      <c r="C58" s="660"/>
      <c r="E58" s="168" t="s">
        <v>200</v>
      </c>
      <c r="F58" s="654"/>
      <c r="G58" s="655"/>
      <c r="H58" s="176"/>
      <c r="I58" s="168" t="s">
        <v>200</v>
      </c>
      <c r="J58" s="164"/>
      <c r="K58" s="165"/>
      <c r="L58" s="156"/>
      <c r="M58" s="168" t="s">
        <v>200</v>
      </c>
      <c r="N58" s="669"/>
      <c r="O58" s="675"/>
      <c r="P58" s="161"/>
      <c r="Q58" s="168" t="s">
        <v>200</v>
      </c>
      <c r="R58" s="670"/>
      <c r="S58" s="653"/>
      <c r="T58" s="153"/>
    </row>
    <row r="59" spans="2:20" ht="39.65" customHeight="1" x14ac:dyDescent="0.25">
      <c r="C59" s="29"/>
      <c r="E59" s="168" t="s">
        <v>200</v>
      </c>
      <c r="F59" s="654"/>
      <c r="G59" s="655"/>
      <c r="H59" s="176"/>
      <c r="I59" s="168" t="s">
        <v>200</v>
      </c>
      <c r="J59" s="164"/>
      <c r="K59" s="165"/>
      <c r="L59" s="156"/>
      <c r="M59" s="168" t="s">
        <v>200</v>
      </c>
      <c r="N59" s="669"/>
      <c r="O59" s="675"/>
      <c r="P59" s="161"/>
    </row>
    <row r="60" spans="2:20" ht="45.75" customHeight="1" x14ac:dyDescent="0.25">
      <c r="E60" s="168" t="s">
        <v>200</v>
      </c>
      <c r="F60" s="654"/>
      <c r="G60" s="655"/>
      <c r="H60" s="176"/>
      <c r="M60" s="168" t="s">
        <v>200</v>
      </c>
      <c r="N60" s="669"/>
      <c r="O60" s="651"/>
      <c r="P60" s="161"/>
    </row>
    <row r="61" spans="2:20" ht="45.75" customHeight="1" x14ac:dyDescent="0.25">
      <c r="E61" s="168" t="s">
        <v>200</v>
      </c>
      <c r="F61" s="654"/>
      <c r="G61" s="655"/>
      <c r="H61" s="176"/>
      <c r="M61" s="168" t="s">
        <v>200</v>
      </c>
      <c r="N61" s="669"/>
      <c r="O61" s="651"/>
      <c r="P61" s="161"/>
    </row>
    <row r="62" spans="2:20" ht="45.65" customHeight="1" x14ac:dyDescent="0.25">
      <c r="E62" s="168" t="s">
        <v>200</v>
      </c>
      <c r="F62" s="673"/>
      <c r="G62" s="674"/>
      <c r="H62" s="176" t="s">
        <v>290</v>
      </c>
      <c r="M62" s="168" t="s">
        <v>200</v>
      </c>
      <c r="N62" s="669"/>
      <c r="O62" s="651"/>
      <c r="P62" s="174"/>
    </row>
    <row r="137" spans="1:1" x14ac:dyDescent="0.25">
      <c r="A137" s="173" t="s">
        <v>315</v>
      </c>
    </row>
  </sheetData>
  <mergeCells count="221">
    <mergeCell ref="F61:G61"/>
    <mergeCell ref="N61:O61"/>
    <mergeCell ref="F62:G62"/>
    <mergeCell ref="N62:O62"/>
    <mergeCell ref="F58:G58"/>
    <mergeCell ref="N58:O58"/>
    <mergeCell ref="R58:S58"/>
    <mergeCell ref="F59:G59"/>
    <mergeCell ref="N59:O59"/>
    <mergeCell ref="F60:G60"/>
    <mergeCell ref="N60:O60"/>
    <mergeCell ref="F56:G56"/>
    <mergeCell ref="J56:K56"/>
    <mergeCell ref="N56:O56"/>
    <mergeCell ref="R56:S56"/>
    <mergeCell ref="F57:G57"/>
    <mergeCell ref="J57:K57"/>
    <mergeCell ref="N57:O57"/>
    <mergeCell ref="R57:S57"/>
    <mergeCell ref="F54:G54"/>
    <mergeCell ref="J54:K54"/>
    <mergeCell ref="N54:O54"/>
    <mergeCell ref="R54:S54"/>
    <mergeCell ref="F55:G55"/>
    <mergeCell ref="J55:K55"/>
    <mergeCell ref="N55:O55"/>
    <mergeCell ref="R55:S55"/>
    <mergeCell ref="R53:S53"/>
    <mergeCell ref="F50:G50"/>
    <mergeCell ref="J50:K50"/>
    <mergeCell ref="N50:O50"/>
    <mergeCell ref="R50:S50"/>
    <mergeCell ref="F51:G51"/>
    <mergeCell ref="J51:K51"/>
    <mergeCell ref="N51:O51"/>
    <mergeCell ref="R51:S51"/>
    <mergeCell ref="J48:K48"/>
    <mergeCell ref="N48:O48"/>
    <mergeCell ref="R48:S48"/>
    <mergeCell ref="F49:G49"/>
    <mergeCell ref="J49:K49"/>
    <mergeCell ref="N49:O49"/>
    <mergeCell ref="R49:S49"/>
    <mergeCell ref="C46:C58"/>
    <mergeCell ref="F46:G46"/>
    <mergeCell ref="J46:K46"/>
    <mergeCell ref="N46:O46"/>
    <mergeCell ref="R46:S46"/>
    <mergeCell ref="F47:G47"/>
    <mergeCell ref="J47:K47"/>
    <mergeCell ref="N47:O47"/>
    <mergeCell ref="R47:S47"/>
    <mergeCell ref="F48:G48"/>
    <mergeCell ref="F52:G52"/>
    <mergeCell ref="J52:K52"/>
    <mergeCell ref="N52:O52"/>
    <mergeCell ref="R52:S52"/>
    <mergeCell ref="F53:G53"/>
    <mergeCell ref="J53:K53"/>
    <mergeCell ref="N53:O53"/>
    <mergeCell ref="F43:H43"/>
    <mergeCell ref="J43:L43"/>
    <mergeCell ref="N43:P43"/>
    <mergeCell ref="R43:T43"/>
    <mergeCell ref="F44:H44"/>
    <mergeCell ref="J44:L44"/>
    <mergeCell ref="N44:P44"/>
    <mergeCell ref="R44:T44"/>
    <mergeCell ref="F41:H41"/>
    <mergeCell ref="J41:L41"/>
    <mergeCell ref="N41:P41"/>
    <mergeCell ref="R41:T41"/>
    <mergeCell ref="F42:H42"/>
    <mergeCell ref="J42:L42"/>
    <mergeCell ref="N42:P42"/>
    <mergeCell ref="R42:T42"/>
    <mergeCell ref="F39:H39"/>
    <mergeCell ref="J39:L39"/>
    <mergeCell ref="N39:P39"/>
    <mergeCell ref="R39:T39"/>
    <mergeCell ref="F40:H40"/>
    <mergeCell ref="J40:L40"/>
    <mergeCell ref="N40:P40"/>
    <mergeCell ref="R40:T40"/>
    <mergeCell ref="F37:H37"/>
    <mergeCell ref="J37:L37"/>
    <mergeCell ref="N37:P37"/>
    <mergeCell ref="R37:T37"/>
    <mergeCell ref="F38:H38"/>
    <mergeCell ref="J38:L38"/>
    <mergeCell ref="N38:P38"/>
    <mergeCell ref="R38:T38"/>
    <mergeCell ref="F35:H35"/>
    <mergeCell ref="J35:L35"/>
    <mergeCell ref="N35:P35"/>
    <mergeCell ref="R35:T35"/>
    <mergeCell ref="F36:H36"/>
    <mergeCell ref="J36:L36"/>
    <mergeCell ref="N36:P36"/>
    <mergeCell ref="R36:T36"/>
    <mergeCell ref="F33:H33"/>
    <mergeCell ref="J33:L33"/>
    <mergeCell ref="N33:P33"/>
    <mergeCell ref="R33:T33"/>
    <mergeCell ref="F34:H34"/>
    <mergeCell ref="J34:L34"/>
    <mergeCell ref="N34:P34"/>
    <mergeCell ref="R34:T34"/>
    <mergeCell ref="F32:H32"/>
    <mergeCell ref="J32:L32"/>
    <mergeCell ref="N32:P32"/>
    <mergeCell ref="R32:T32"/>
    <mergeCell ref="F29:H29"/>
    <mergeCell ref="J29:L29"/>
    <mergeCell ref="N29:P29"/>
    <mergeCell ref="R29:T29"/>
    <mergeCell ref="F30:H30"/>
    <mergeCell ref="J30:L30"/>
    <mergeCell ref="N30:P30"/>
    <mergeCell ref="R30:T30"/>
    <mergeCell ref="F27:H27"/>
    <mergeCell ref="J27:L27"/>
    <mergeCell ref="N27:P27"/>
    <mergeCell ref="R27:T27"/>
    <mergeCell ref="F28:H28"/>
    <mergeCell ref="J28:L28"/>
    <mergeCell ref="N28:P28"/>
    <mergeCell ref="R28:T28"/>
    <mergeCell ref="F31:H31"/>
    <mergeCell ref="J31:L31"/>
    <mergeCell ref="N31:P31"/>
    <mergeCell ref="R31:T31"/>
    <mergeCell ref="F26:H26"/>
    <mergeCell ref="J26:L26"/>
    <mergeCell ref="N26:P26"/>
    <mergeCell ref="R26:T26"/>
    <mergeCell ref="F24:H24"/>
    <mergeCell ref="J24:L24"/>
    <mergeCell ref="N24:P24"/>
    <mergeCell ref="R24:T24"/>
    <mergeCell ref="F25:H25"/>
    <mergeCell ref="J25:L25"/>
    <mergeCell ref="N25:P25"/>
    <mergeCell ref="R25:T25"/>
    <mergeCell ref="F22:H22"/>
    <mergeCell ref="J22:L22"/>
    <mergeCell ref="N22:P22"/>
    <mergeCell ref="R22:T22"/>
    <mergeCell ref="F23:H23"/>
    <mergeCell ref="J23:L23"/>
    <mergeCell ref="N23:P23"/>
    <mergeCell ref="R23:T23"/>
    <mergeCell ref="F20:H20"/>
    <mergeCell ref="J20:L20"/>
    <mergeCell ref="N20:P20"/>
    <mergeCell ref="R20:T20"/>
    <mergeCell ref="F21:H21"/>
    <mergeCell ref="J21:L21"/>
    <mergeCell ref="N21:P21"/>
    <mergeCell ref="R21:T21"/>
    <mergeCell ref="F18:H18"/>
    <mergeCell ref="J18:L18"/>
    <mergeCell ref="N18:P18"/>
    <mergeCell ref="R18:T18"/>
    <mergeCell ref="F19:H19"/>
    <mergeCell ref="J19:L19"/>
    <mergeCell ref="N19:P19"/>
    <mergeCell ref="R19:T19"/>
    <mergeCell ref="F16:H16"/>
    <mergeCell ref="J16:L16"/>
    <mergeCell ref="N16:P16"/>
    <mergeCell ref="R16:T16"/>
    <mergeCell ref="F17:H17"/>
    <mergeCell ref="J17:L17"/>
    <mergeCell ref="N17:P17"/>
    <mergeCell ref="R17:T17"/>
    <mergeCell ref="Q9:T9"/>
    <mergeCell ref="E10:H10"/>
    <mergeCell ref="I10:L10"/>
    <mergeCell ref="M10:P10"/>
    <mergeCell ref="Q10:T10"/>
    <mergeCell ref="J14:L14"/>
    <mergeCell ref="N14:P14"/>
    <mergeCell ref="R14:T14"/>
    <mergeCell ref="F15:H15"/>
    <mergeCell ref="J15:L15"/>
    <mergeCell ref="N15:P15"/>
    <mergeCell ref="R15:T15"/>
    <mergeCell ref="F12:H12"/>
    <mergeCell ref="J12:L12"/>
    <mergeCell ref="N12:P12"/>
    <mergeCell ref="R12:T12"/>
    <mergeCell ref="F13:H13"/>
    <mergeCell ref="J13:L13"/>
    <mergeCell ref="N13:P13"/>
    <mergeCell ref="R13:T13"/>
    <mergeCell ref="F14:H14"/>
    <mergeCell ref="C7:C8"/>
    <mergeCell ref="E2:Q2"/>
    <mergeCell ref="R2:S2"/>
    <mergeCell ref="B4:C5"/>
    <mergeCell ref="E4:H4"/>
    <mergeCell ref="I4:L4"/>
    <mergeCell ref="M4:P4"/>
    <mergeCell ref="Q4:T4"/>
    <mergeCell ref="E5:H5"/>
    <mergeCell ref="I5:L5"/>
    <mergeCell ref="M5:P5"/>
    <mergeCell ref="Q5:T5"/>
    <mergeCell ref="B7:B35"/>
    <mergeCell ref="E7:H7"/>
    <mergeCell ref="I7:L7"/>
    <mergeCell ref="M7:P7"/>
    <mergeCell ref="Q7:T7"/>
    <mergeCell ref="E8:H8"/>
    <mergeCell ref="I8:L8"/>
    <mergeCell ref="M8:P8"/>
    <mergeCell ref="Q8:T8"/>
    <mergeCell ref="E9:H9"/>
    <mergeCell ref="I9:L9"/>
    <mergeCell ref="M9:P9"/>
  </mergeCells>
  <conditionalFormatting sqref="C45 E45:L45 Q45:U45">
    <cfRule type="expression" dxfId="120" priority="91">
      <formula>IF(#REF!&lt;#REF!,1,0)</formula>
    </cfRule>
  </conditionalFormatting>
  <conditionalFormatting sqref="J13:L13">
    <cfRule type="expression" dxfId="107" priority="93">
      <formula>IF(#REF!&lt;#REF!,1,0)</formula>
    </cfRule>
  </conditionalFormatting>
  <conditionalFormatting sqref="J16:L16">
    <cfRule type="expression" dxfId="106" priority="88">
      <formula>IF(#REF!&lt;#REF!,1,0)</formula>
    </cfRule>
  </conditionalFormatting>
  <conditionalFormatting sqref="J19:L19">
    <cfRule type="expression" dxfId="105" priority="87">
      <formula>IF(#REF!&lt;#REF!,1,0)</formula>
    </cfRule>
  </conditionalFormatting>
  <conditionalFormatting sqref="J22:L22">
    <cfRule type="expression" dxfId="104" priority="49">
      <formula>IF(#REF!&lt;#REF!,1,0)</formula>
    </cfRule>
  </conditionalFormatting>
  <conditionalFormatting sqref="J25:L25">
    <cfRule type="expression" dxfId="103" priority="51">
      <formula>IF(#REF!&lt;#REF!,1,0)</formula>
    </cfRule>
  </conditionalFormatting>
  <conditionalFormatting sqref="J28:L28">
    <cfRule type="expression" dxfId="102" priority="50">
      <formula>IF(#REF!&lt;#REF!,1,0)</formula>
    </cfRule>
  </conditionalFormatting>
  <conditionalFormatting sqref="J31:L31">
    <cfRule type="expression" dxfId="101" priority="78">
      <formula>IF(#REF!&lt;#REF!,1,0)</formula>
    </cfRule>
  </conditionalFormatting>
  <conditionalFormatting sqref="J34:L34">
    <cfRule type="expression" dxfId="100" priority="77">
      <formula>IF(#REF!&lt;#REF!,1,0)</formula>
    </cfRule>
  </conditionalFormatting>
  <conditionalFormatting sqref="J37:L37">
    <cfRule type="expression" dxfId="99" priority="76">
      <formula>IF(#REF!&lt;#REF!,1,0)</formula>
    </cfRule>
  </conditionalFormatting>
  <conditionalFormatting sqref="J40:L40">
    <cfRule type="expression" dxfId="98" priority="86">
      <formula>IF(#REF!&lt;#REF!,1,0)</formula>
    </cfRule>
  </conditionalFormatting>
  <conditionalFormatting sqref="J43:L43">
    <cfRule type="expression" dxfId="97" priority="85">
      <formula>IF(#REF!&lt;#REF!,1,0)</formula>
    </cfRule>
  </conditionalFormatting>
  <conditionalFormatting sqref="X13">
    <cfRule type="expression" dxfId="47" priority="90">
      <formula>IF(#REF!&lt;#REF!,1,0)</formula>
    </cfRule>
  </conditionalFormatting>
  <conditionalFormatting sqref="X18:X19">
    <cfRule type="expression" dxfId="46" priority="89">
      <formula>IF(#REF!&lt;#REF!,1,0)</formula>
    </cfRule>
  </conditionalFormatting>
  <printOptions horizontalCentered="1" verticalCentered="1"/>
  <pageMargins left="0" right="0" top="0" bottom="0" header="0.31496062992125984" footer="0.31496062992125984"/>
  <pageSetup paperSize="9" scale="31" orientation="portrait" r:id="rId1"/>
  <drawing r:id="rId2"/>
  <extLst>
    <ext xmlns:x14="http://schemas.microsoft.com/office/spreadsheetml/2009/9/main" uri="{78C0D931-6437-407d-A8EE-F0AAD7539E65}">
      <x14:conditionalFormattings>
        <x14:conditionalFormatting xmlns:xm="http://schemas.microsoft.com/office/excel/2006/main">
          <x14:cfRule type="cellIs" priority="60" operator="equal" id="{1A2CCFF4-EF41-4107-8C3B-D4134E70F69D}">
            <xm:f>LEGENDA!$E$8</xm:f>
            <x14:dxf>
              <fill>
                <patternFill>
                  <bgColor rgb="FFFFFF00"/>
                </patternFill>
              </fill>
            </x14:dxf>
          </x14:cfRule>
          <x14:cfRule type="cellIs" priority="61" operator="equal" id="{16BCED4E-9E02-42BE-BBF4-D75BDE9B0A59}">
            <xm:f>LEGENDA!$E$7</xm:f>
            <x14:dxf>
              <fill>
                <patternFill>
                  <bgColor rgb="FF00B050"/>
                </patternFill>
              </fill>
            </x14:dxf>
          </x14:cfRule>
          <x14:cfRule type="cellIs" priority="62" operator="equal" id="{BEB622E7-0FC9-4381-BA7C-49E827BFAC4C}">
            <xm:f>LEGENDA!$E$6</xm:f>
            <x14:dxf>
              <fill>
                <patternFill>
                  <bgColor theme="0" tint="-0.24994659260841701"/>
                </patternFill>
              </fill>
            </x14:dxf>
          </x14:cfRule>
          <x14:cfRule type="cellIs" priority="63" operator="equal" id="{03ABEEFD-9904-4BC2-9F8A-5253D5B75483}">
            <xm:f>LEGENDA!$E$5</xm:f>
            <x14:dxf>
              <fill>
                <patternFill>
                  <bgColor theme="0" tint="-0.14996795556505021"/>
                </patternFill>
              </fill>
            </x14:dxf>
          </x14:cfRule>
          <x14:cfRule type="cellIs" priority="59" operator="equal" id="{CA496477-6C38-4023-8E32-7612140DFA83}">
            <xm:f>LEGENDA!$E$9</xm:f>
            <x14:dxf>
              <fill>
                <patternFill>
                  <bgColor rgb="FFFF0000"/>
                </patternFill>
              </fill>
            </x14:dxf>
          </x14:cfRule>
          <x14:cfRule type="cellIs" priority="58" operator="equal" id="{E9103090-8D6B-4C33-8463-0A78577C8092}">
            <xm:f>LEGENDA!$E$10</xm:f>
            <x14:dxf>
              <fill>
                <patternFill>
                  <bgColor theme="9" tint="0.59996337778862885"/>
                </patternFill>
              </fill>
            </x14:dxf>
          </x14:cfRule>
          <xm:sqref>E13 I13 E16 I16 Q16</xm:sqref>
        </x14:conditionalFormatting>
        <x14:conditionalFormatting xmlns:xm="http://schemas.microsoft.com/office/excel/2006/main">
          <x14:cfRule type="cellIs" priority="83" operator="equal" id="{A16196E5-128D-4C29-BB90-8AF722754255}">
            <xm:f>LEGENDA!$E$6</xm:f>
            <x14:dxf>
              <fill>
                <patternFill>
                  <bgColor theme="0" tint="-0.24994659260841701"/>
                </patternFill>
              </fill>
            </x14:dxf>
          </x14:cfRule>
          <x14:cfRule type="cellIs" priority="82" operator="equal" id="{AB49D442-B914-4FBF-8BCC-52D08D549FAE}">
            <xm:f>LEGENDA!$E$7</xm:f>
            <x14:dxf>
              <fill>
                <patternFill>
                  <bgColor rgb="FF00B050"/>
                </patternFill>
              </fill>
            </x14:dxf>
          </x14:cfRule>
          <x14:cfRule type="cellIs" priority="81" operator="equal" id="{BC8FC1DB-EBF2-44FF-9BBF-3C50A0C1758D}">
            <xm:f>LEGENDA!$E$8</xm:f>
            <x14:dxf>
              <fill>
                <patternFill>
                  <bgColor rgb="FFFFFF00"/>
                </patternFill>
              </fill>
            </x14:dxf>
          </x14:cfRule>
          <x14:cfRule type="cellIs" priority="80" operator="equal" id="{C27DB437-E9C8-4F9E-9318-1B39ED051D55}">
            <xm:f>LEGENDA!$E$9</xm:f>
            <x14:dxf>
              <fill>
                <patternFill>
                  <bgColor rgb="FFFF0000"/>
                </patternFill>
              </fill>
            </x14:dxf>
          </x14:cfRule>
          <x14:cfRule type="cellIs" priority="79" operator="equal" id="{DB3DBE7E-E1B7-4DFF-A542-9CE78C1E21A7}">
            <xm:f>LEGENDA!$E$10</xm:f>
            <x14:dxf>
              <fill>
                <patternFill>
                  <bgColor theme="9" tint="0.59996337778862885"/>
                </patternFill>
              </fill>
            </x14:dxf>
          </x14:cfRule>
          <x14:cfRule type="cellIs" priority="84" operator="equal" id="{138152D6-1282-4DF8-9804-D5702417DA04}">
            <xm:f>LEGENDA!$E$5</xm:f>
            <x14:dxf>
              <fill>
                <patternFill>
                  <bgColor theme="0" tint="-0.14996795556505021"/>
                </patternFill>
              </fill>
            </x14:dxf>
          </x14:cfRule>
          <xm:sqref>E19 I19 M19 Q19 E22 I22 Q22 E25 I25 Q25 E28 I28 Q28 E31 I31 Q31 E34 I34 M34 Q34 E37 I37 Q37 E40 I40 M40 Q40 E43 I43 M43 Q43 Q46:Q58 I46:I59 E46:E62 M46:M62</xm:sqref>
        </x14:conditionalFormatting>
        <x14:conditionalFormatting xmlns:xm="http://schemas.microsoft.com/office/excel/2006/main">
          <x14:cfRule type="cellIs" priority="68" operator="equal" id="{EBAC1FB0-E408-4112-A5AD-84D2C624C508}">
            <xm:f>LEGENDA!$E$6</xm:f>
            <x14:dxf>
              <fill>
                <patternFill>
                  <bgColor theme="0" tint="-0.24994659260841701"/>
                </patternFill>
              </fill>
            </x14:dxf>
          </x14:cfRule>
          <x14:cfRule type="cellIs" priority="67" operator="equal" id="{FC997B4C-23EE-4E63-98B0-65EE83262665}">
            <xm:f>LEGENDA!$E$7</xm:f>
            <x14:dxf>
              <fill>
                <patternFill>
                  <bgColor rgb="FF00B050"/>
                </patternFill>
              </fill>
            </x14:dxf>
          </x14:cfRule>
          <x14:cfRule type="cellIs" priority="66" operator="equal" id="{BD4A0498-420E-4997-8FCF-3F4A6119C109}">
            <xm:f>LEGENDA!$E$8</xm:f>
            <x14:dxf>
              <fill>
                <patternFill>
                  <bgColor rgb="FFFFFF00"/>
                </patternFill>
              </fill>
            </x14:dxf>
          </x14:cfRule>
          <x14:cfRule type="cellIs" priority="64" operator="equal" id="{34582FD3-239D-4D75-BAC0-AFE3200512BC}">
            <xm:f>LEGENDA!$E$10</xm:f>
            <x14:dxf>
              <fill>
                <patternFill>
                  <bgColor theme="9" tint="0.59996337778862885"/>
                </patternFill>
              </fill>
            </x14:dxf>
          </x14:cfRule>
          <x14:cfRule type="cellIs" priority="69" operator="equal" id="{2A93323F-B267-4441-906B-F0514E5D6DDB}">
            <xm:f>LEGENDA!$E$5</xm:f>
            <x14:dxf>
              <fill>
                <patternFill>
                  <bgColor theme="0" tint="-0.14996795556505021"/>
                </patternFill>
              </fill>
            </x14:dxf>
          </x14:cfRule>
          <x14:cfRule type="cellIs" priority="65" operator="equal" id="{68AFC269-963F-4730-A7EB-8B0C4BC078C2}">
            <xm:f>LEGENDA!$E$9</xm:f>
            <x14:dxf>
              <fill>
                <patternFill>
                  <bgColor rgb="FFFF0000"/>
                </patternFill>
              </fill>
            </x14:dxf>
          </x14:cfRule>
          <xm:sqref>M13</xm:sqref>
        </x14:conditionalFormatting>
        <x14:conditionalFormatting xmlns:xm="http://schemas.microsoft.com/office/excel/2006/main">
          <x14:cfRule type="cellIs" priority="73" operator="equal" id="{A8B53953-421E-42DD-978B-D1F93F3F9353}">
            <xm:f>LEGENDA!$E$7</xm:f>
            <x14:dxf>
              <fill>
                <patternFill>
                  <bgColor rgb="FF00B050"/>
                </patternFill>
              </fill>
            </x14:dxf>
          </x14:cfRule>
          <x14:cfRule type="cellIs" priority="74" operator="equal" id="{25376280-375C-44D8-A090-0A164497D584}">
            <xm:f>LEGENDA!$E$6</xm:f>
            <x14:dxf>
              <fill>
                <patternFill>
                  <bgColor theme="0" tint="-0.24994659260841701"/>
                </patternFill>
              </fill>
            </x14:dxf>
          </x14:cfRule>
          <x14:cfRule type="cellIs" priority="70" operator="equal" id="{74C4A5A8-BB85-471E-9D68-C22227F59506}">
            <xm:f>LEGENDA!$E$10</xm:f>
            <x14:dxf>
              <fill>
                <patternFill>
                  <bgColor theme="9" tint="0.59996337778862885"/>
                </patternFill>
              </fill>
            </x14:dxf>
          </x14:cfRule>
          <x14:cfRule type="cellIs" priority="71" operator="equal" id="{CA479802-EA25-4981-A177-0838B796B8A9}">
            <xm:f>LEGENDA!$E$9</xm:f>
            <x14:dxf>
              <fill>
                <patternFill>
                  <bgColor rgb="FFFF0000"/>
                </patternFill>
              </fill>
            </x14:dxf>
          </x14:cfRule>
          <x14:cfRule type="cellIs" priority="72" operator="equal" id="{95AA5D45-D07E-4F99-8643-920DF43EE991}">
            <xm:f>LEGENDA!$E$8</xm:f>
            <x14:dxf>
              <fill>
                <patternFill>
                  <bgColor rgb="FFFFFF00"/>
                </patternFill>
              </fill>
            </x14:dxf>
          </x14:cfRule>
          <x14:cfRule type="cellIs" priority="75" operator="equal" id="{90745747-FF9A-4637-B1E2-E7916C921750}">
            <xm:f>LEGENDA!$E$5</xm:f>
            <x14:dxf>
              <fill>
                <patternFill>
                  <bgColor theme="0" tint="-0.14996795556505021"/>
                </patternFill>
              </fill>
            </x14:dxf>
          </x14:cfRule>
          <xm:sqref>M16</xm:sqref>
        </x14:conditionalFormatting>
        <x14:conditionalFormatting xmlns:xm="http://schemas.microsoft.com/office/excel/2006/main">
          <x14:cfRule type="cellIs" priority="36" operator="equal" id="{CD111B1B-8670-46EF-8131-6A9A62483766}">
            <xm:f>LEGENDA!$E$5</xm:f>
            <x14:dxf>
              <fill>
                <patternFill>
                  <bgColor theme="0" tint="-0.14996795556505021"/>
                </patternFill>
              </fill>
            </x14:dxf>
          </x14:cfRule>
          <x14:cfRule type="cellIs" priority="35" operator="equal" id="{490655DE-F176-41CA-8F52-5A2C030843FB}">
            <xm:f>LEGENDA!$E$6</xm:f>
            <x14:dxf>
              <fill>
                <patternFill>
                  <bgColor theme="0" tint="-0.24994659260841701"/>
                </patternFill>
              </fill>
            </x14:dxf>
          </x14:cfRule>
          <x14:cfRule type="cellIs" priority="31" operator="equal" id="{7498FF89-8C8D-44C8-A510-193B53B6881E}">
            <xm:f>LEGENDA!$E$10</xm:f>
            <x14:dxf>
              <fill>
                <patternFill>
                  <bgColor theme="9" tint="0.59996337778862885"/>
                </patternFill>
              </fill>
            </x14:dxf>
          </x14:cfRule>
          <x14:cfRule type="cellIs" priority="32" operator="equal" id="{661CB27E-4A1D-43AC-A52F-91746FFF6FD8}">
            <xm:f>LEGENDA!$E$9</xm:f>
            <x14:dxf>
              <fill>
                <patternFill>
                  <bgColor rgb="FFFF0000"/>
                </patternFill>
              </fill>
            </x14:dxf>
          </x14:cfRule>
          <x14:cfRule type="cellIs" priority="33" operator="equal" id="{198D8A69-E839-4AD4-BD5B-8BCB78E75637}">
            <xm:f>LEGENDA!$E$8</xm:f>
            <x14:dxf>
              <fill>
                <patternFill>
                  <bgColor rgb="FFFFFF00"/>
                </patternFill>
              </fill>
            </x14:dxf>
          </x14:cfRule>
          <x14:cfRule type="cellIs" priority="34" operator="equal" id="{78F62302-DF06-4A19-8B96-A5E9BC6EE364}">
            <xm:f>LEGENDA!$E$7</xm:f>
            <x14:dxf>
              <fill>
                <patternFill>
                  <bgColor rgb="FF00B050"/>
                </patternFill>
              </fill>
            </x14:dxf>
          </x14:cfRule>
          <xm:sqref>M22</xm:sqref>
        </x14:conditionalFormatting>
        <x14:conditionalFormatting xmlns:xm="http://schemas.microsoft.com/office/excel/2006/main">
          <x14:cfRule type="cellIs" priority="24" operator="equal" id="{181565EB-E9A2-4125-8B51-889A27500432}">
            <xm:f>LEGENDA!$E$5</xm:f>
            <x14:dxf>
              <fill>
                <patternFill>
                  <bgColor theme="0" tint="-0.14996795556505021"/>
                </patternFill>
              </fill>
            </x14:dxf>
          </x14:cfRule>
          <x14:cfRule type="cellIs" priority="23" operator="equal" id="{ADE3C5E9-6D06-4876-A2FA-7ED322C2B62A}">
            <xm:f>LEGENDA!$E$6</xm:f>
            <x14:dxf>
              <fill>
                <patternFill>
                  <bgColor theme="0" tint="-0.24994659260841701"/>
                </patternFill>
              </fill>
            </x14:dxf>
          </x14:cfRule>
          <x14:cfRule type="cellIs" priority="22" operator="equal" id="{224359B4-A7E4-498F-853B-2DCE7B7826D0}">
            <xm:f>LEGENDA!$E$7</xm:f>
            <x14:dxf>
              <fill>
                <patternFill>
                  <bgColor rgb="FF00B050"/>
                </patternFill>
              </fill>
            </x14:dxf>
          </x14:cfRule>
          <x14:cfRule type="cellIs" priority="21" operator="equal" id="{3A17B310-862D-4B41-B3A0-F6E38AB8AFF8}">
            <xm:f>LEGENDA!$E$8</xm:f>
            <x14:dxf>
              <fill>
                <patternFill>
                  <bgColor rgb="FFFFFF00"/>
                </patternFill>
              </fill>
            </x14:dxf>
          </x14:cfRule>
          <x14:cfRule type="cellIs" priority="20" operator="equal" id="{9FEBA5A0-7668-4145-B402-8987D09D5265}">
            <xm:f>LEGENDA!$E$9</xm:f>
            <x14:dxf>
              <fill>
                <patternFill>
                  <bgColor rgb="FFFF0000"/>
                </patternFill>
              </fill>
            </x14:dxf>
          </x14:cfRule>
          <x14:cfRule type="cellIs" priority="19" operator="equal" id="{5F9B9A5F-32ED-47BA-8BE3-836BAB7FC5B6}">
            <xm:f>LEGENDA!$E$10</xm:f>
            <x14:dxf>
              <fill>
                <patternFill>
                  <bgColor theme="9" tint="0.59996337778862885"/>
                </patternFill>
              </fill>
            </x14:dxf>
          </x14:cfRule>
          <xm:sqref>M25</xm:sqref>
        </x14:conditionalFormatting>
        <x14:conditionalFormatting xmlns:xm="http://schemas.microsoft.com/office/excel/2006/main">
          <x14:cfRule type="cellIs" priority="18" operator="equal" id="{7BDD6807-592D-4008-BE54-E1EBBEA8918F}">
            <xm:f>LEGENDA!$E$5</xm:f>
            <x14:dxf>
              <fill>
                <patternFill>
                  <bgColor theme="0" tint="-0.14996795556505021"/>
                </patternFill>
              </fill>
            </x14:dxf>
          </x14:cfRule>
          <x14:cfRule type="cellIs" priority="17" operator="equal" id="{2530794B-8098-4DE4-9120-93A8C8CBCFCC}">
            <xm:f>LEGENDA!$E$6</xm:f>
            <x14:dxf>
              <fill>
                <patternFill>
                  <bgColor theme="0" tint="-0.24994659260841701"/>
                </patternFill>
              </fill>
            </x14:dxf>
          </x14:cfRule>
          <x14:cfRule type="cellIs" priority="16" operator="equal" id="{BAB40B4D-FD68-4243-851C-414ED195A652}">
            <xm:f>LEGENDA!$E$7</xm:f>
            <x14:dxf>
              <fill>
                <patternFill>
                  <bgColor rgb="FF00B050"/>
                </patternFill>
              </fill>
            </x14:dxf>
          </x14:cfRule>
          <x14:cfRule type="cellIs" priority="15" operator="equal" id="{31B39E9A-9EAE-4AFB-9FC8-6493C6C26DD7}">
            <xm:f>LEGENDA!$E$8</xm:f>
            <x14:dxf>
              <fill>
                <patternFill>
                  <bgColor rgb="FFFFFF00"/>
                </patternFill>
              </fill>
            </x14:dxf>
          </x14:cfRule>
          <x14:cfRule type="cellIs" priority="14" operator="equal" id="{371ECC79-08A7-48A4-83D4-49F9A55AED5F}">
            <xm:f>LEGENDA!$E$9</xm:f>
            <x14:dxf>
              <fill>
                <patternFill>
                  <bgColor rgb="FFFF0000"/>
                </patternFill>
              </fill>
            </x14:dxf>
          </x14:cfRule>
          <x14:cfRule type="cellIs" priority="13" operator="equal" id="{A144822D-ADC1-4F35-A49C-6B113F897E84}">
            <xm:f>LEGENDA!$E$10</xm:f>
            <x14:dxf>
              <fill>
                <patternFill>
                  <bgColor theme="9" tint="0.59996337778862885"/>
                </patternFill>
              </fill>
            </x14:dxf>
          </x14:cfRule>
          <xm:sqref>M28</xm:sqref>
        </x14:conditionalFormatting>
        <x14:conditionalFormatting xmlns:xm="http://schemas.microsoft.com/office/excel/2006/main">
          <x14:cfRule type="cellIs" priority="9" operator="equal" id="{06649A65-BEF5-4344-AB84-E36567B95ED1}">
            <xm:f>LEGENDA!$E$8</xm:f>
            <x14:dxf>
              <fill>
                <patternFill>
                  <bgColor rgb="FFFFFF00"/>
                </patternFill>
              </fill>
            </x14:dxf>
          </x14:cfRule>
          <x14:cfRule type="cellIs" priority="11" operator="equal" id="{57B46D63-F9E6-4122-A9CF-F4F37EF88DA8}">
            <xm:f>LEGENDA!$E$6</xm:f>
            <x14:dxf>
              <fill>
                <patternFill>
                  <bgColor theme="0" tint="-0.24994659260841701"/>
                </patternFill>
              </fill>
            </x14:dxf>
          </x14:cfRule>
          <x14:cfRule type="cellIs" priority="12" operator="equal" id="{63F67102-4CA7-4D5C-AD36-FCBC9A61CAC3}">
            <xm:f>LEGENDA!$E$5</xm:f>
            <x14:dxf>
              <fill>
                <patternFill>
                  <bgColor theme="0" tint="-0.14996795556505021"/>
                </patternFill>
              </fill>
            </x14:dxf>
          </x14:cfRule>
          <x14:cfRule type="cellIs" priority="8" operator="equal" id="{119300E6-B2AF-4CC0-97EF-2F3D993D9EE9}">
            <xm:f>LEGENDA!$E$9</xm:f>
            <x14:dxf>
              <fill>
                <patternFill>
                  <bgColor rgb="FFFF0000"/>
                </patternFill>
              </fill>
            </x14:dxf>
          </x14:cfRule>
          <x14:cfRule type="cellIs" priority="7" operator="equal" id="{BBC06552-3391-4577-A5FE-2CEE8948E536}">
            <xm:f>LEGENDA!$E$10</xm:f>
            <x14:dxf>
              <fill>
                <patternFill>
                  <bgColor theme="9" tint="0.59996337778862885"/>
                </patternFill>
              </fill>
            </x14:dxf>
          </x14:cfRule>
          <x14:cfRule type="cellIs" priority="10" operator="equal" id="{42808186-1DA2-43F7-AEF5-B269B9BBBEFD}">
            <xm:f>LEGENDA!$E$7</xm:f>
            <x14:dxf>
              <fill>
                <patternFill>
                  <bgColor rgb="FF00B050"/>
                </patternFill>
              </fill>
            </x14:dxf>
          </x14:cfRule>
          <xm:sqref>M31</xm:sqref>
        </x14:conditionalFormatting>
        <x14:conditionalFormatting xmlns:xm="http://schemas.microsoft.com/office/excel/2006/main">
          <x14:cfRule type="cellIs" priority="1" operator="equal" id="{E218E439-4B24-44C0-8382-B96B952C3EEE}">
            <xm:f>LEGENDA!$E$10</xm:f>
            <x14:dxf>
              <fill>
                <patternFill>
                  <bgColor theme="9" tint="0.59996337778862885"/>
                </patternFill>
              </fill>
            </x14:dxf>
          </x14:cfRule>
          <x14:cfRule type="cellIs" priority="6" operator="equal" id="{A58B2519-332B-49BE-A1B8-C05D0F04ABCD}">
            <xm:f>LEGENDA!$E$5</xm:f>
            <x14:dxf>
              <fill>
                <patternFill>
                  <bgColor theme="0" tint="-0.14996795556505021"/>
                </patternFill>
              </fill>
            </x14:dxf>
          </x14:cfRule>
          <x14:cfRule type="cellIs" priority="5" operator="equal" id="{CC3A757F-2AF5-433A-977E-41BA4CF6950E}">
            <xm:f>LEGENDA!$E$6</xm:f>
            <x14:dxf>
              <fill>
                <patternFill>
                  <bgColor theme="0" tint="-0.24994659260841701"/>
                </patternFill>
              </fill>
            </x14:dxf>
          </x14:cfRule>
          <x14:cfRule type="cellIs" priority="4" operator="equal" id="{B7762EB2-1FF9-4825-AA0C-B6879D97D934}">
            <xm:f>LEGENDA!$E$7</xm:f>
            <x14:dxf>
              <fill>
                <patternFill>
                  <bgColor rgb="FF00B050"/>
                </patternFill>
              </fill>
            </x14:dxf>
          </x14:cfRule>
          <x14:cfRule type="cellIs" priority="3" operator="equal" id="{A8F542AB-E3C0-4ADC-AC81-B890295C32A1}">
            <xm:f>LEGENDA!$E$8</xm:f>
            <x14:dxf>
              <fill>
                <patternFill>
                  <bgColor rgb="FFFFFF00"/>
                </patternFill>
              </fill>
            </x14:dxf>
          </x14:cfRule>
          <x14:cfRule type="cellIs" priority="2" operator="equal" id="{75D9491F-F491-42AE-987B-D4F63627E95D}">
            <xm:f>LEGENDA!$E$9</xm:f>
            <x14:dxf>
              <fill>
                <patternFill>
                  <bgColor rgb="FFFF0000"/>
                </patternFill>
              </fill>
            </x14:dxf>
          </x14:cfRule>
          <xm:sqref>M37</xm:sqref>
        </x14:conditionalFormatting>
        <x14:conditionalFormatting xmlns:xm="http://schemas.microsoft.com/office/excel/2006/main">
          <x14:cfRule type="expression" priority="92" id="{918F51C0-D4FA-42AE-B4A3-930B0498EEC5}">
            <xm:f>IF('3.4'!$J$8:$K$9&lt;#REF!,1,0)</xm:f>
            <x14:dxf>
              <fill>
                <patternFill>
                  <bgColor rgb="FFFF0000"/>
                </patternFill>
              </fill>
            </x14:dxf>
          </x14:cfRule>
          <xm:sqref>M45:P45</xm:sqref>
        </x14:conditionalFormatting>
        <x14:conditionalFormatting xmlns:xm="http://schemas.microsoft.com/office/excel/2006/main">
          <x14:cfRule type="cellIs" priority="56" operator="equal" id="{D2E86765-C1C5-4EF2-A34C-9E07BB760157}">
            <xm:f>LEGENDA!$E$6</xm:f>
            <x14:dxf>
              <fill>
                <patternFill>
                  <bgColor theme="0" tint="-0.24994659260841701"/>
                </patternFill>
              </fill>
            </x14:dxf>
          </x14:cfRule>
          <x14:cfRule type="cellIs" priority="57" operator="equal" id="{120B17B5-8A8B-4FB5-B2C7-8A3FFF15B671}">
            <xm:f>LEGENDA!$E$5</xm:f>
            <x14:dxf>
              <fill>
                <patternFill>
                  <bgColor theme="0" tint="-0.14996795556505021"/>
                </patternFill>
              </fill>
            </x14:dxf>
          </x14:cfRule>
          <x14:cfRule type="cellIs" priority="55" operator="equal" id="{3753A303-615E-4AFE-8A65-C91AD88A70DF}">
            <xm:f>LEGENDA!$E$7</xm:f>
            <x14:dxf>
              <fill>
                <patternFill>
                  <bgColor rgb="FF00B050"/>
                </patternFill>
              </fill>
            </x14:dxf>
          </x14:cfRule>
          <x14:cfRule type="cellIs" priority="54" operator="equal" id="{64A77DF2-2DF9-40EB-8E91-A173FC10229F}">
            <xm:f>LEGENDA!$E$8</xm:f>
            <x14:dxf>
              <fill>
                <patternFill>
                  <bgColor rgb="FFFFFF00"/>
                </patternFill>
              </fill>
            </x14:dxf>
          </x14:cfRule>
          <x14:cfRule type="cellIs" priority="52" operator="equal" id="{8E6BE015-300F-4DA5-8DA9-1791AB1001D2}">
            <xm:f>LEGENDA!$E$10</xm:f>
            <x14:dxf>
              <fill>
                <patternFill>
                  <bgColor theme="9" tint="0.59996337778862885"/>
                </patternFill>
              </fill>
            </x14:dxf>
          </x14:cfRule>
          <x14:cfRule type="cellIs" priority="53" operator="equal" id="{BCD7C3A0-405B-4588-A908-1A70F613BBD4}">
            <xm:f>LEGENDA!$E$9</xm:f>
            <x14:dxf>
              <fill>
                <patternFill>
                  <bgColor rgb="FFFF0000"/>
                </patternFill>
              </fill>
            </x14:dxf>
          </x14:cfRule>
          <xm:sqref>Q13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
    <tabColor rgb="FF00B0F0"/>
  </sheetPr>
  <dimension ref="B3:E10"/>
  <sheetViews>
    <sheetView zoomScale="90" zoomScaleNormal="90" workbookViewId="0">
      <selection activeCell="H6" sqref="H6"/>
    </sheetView>
  </sheetViews>
  <sheetFormatPr defaultColWidth="8.54296875" defaultRowHeight="12.5" x14ac:dyDescent="0.25"/>
  <cols>
    <col min="2" max="2" width="8.1796875" customWidth="1"/>
    <col min="3" max="3" width="23.54296875" customWidth="1"/>
    <col min="4" max="4" width="44" customWidth="1"/>
    <col min="5" max="5" width="8.54296875" customWidth="1"/>
  </cols>
  <sheetData>
    <row r="3" spans="2:5" ht="14.5" x14ac:dyDescent="0.35">
      <c r="B3" s="676" t="s">
        <v>316</v>
      </c>
      <c r="C3" s="677"/>
      <c r="D3" s="678"/>
    </row>
    <row r="4" spans="2:5" ht="34.5" customHeight="1" thickBot="1" x14ac:dyDescent="0.3">
      <c r="B4" s="679" t="s">
        <v>74</v>
      </c>
      <c r="C4" s="680"/>
      <c r="D4" s="681"/>
    </row>
    <row r="5" spans="2:5" ht="49.4" customHeight="1" x14ac:dyDescent="0.25">
      <c r="B5" s="109" t="s">
        <v>200</v>
      </c>
      <c r="C5" s="188" t="s">
        <v>317</v>
      </c>
      <c r="D5" s="189" t="s">
        <v>318</v>
      </c>
      <c r="E5" s="115" t="s">
        <v>200</v>
      </c>
    </row>
    <row r="6" spans="2:5" ht="49.4" customHeight="1" x14ac:dyDescent="0.25">
      <c r="B6" s="110" t="s">
        <v>319</v>
      </c>
      <c r="C6" s="190" t="s">
        <v>320</v>
      </c>
      <c r="D6" s="191" t="s">
        <v>320</v>
      </c>
      <c r="E6" s="115">
        <v>6</v>
      </c>
    </row>
    <row r="7" spans="2:5" ht="49.4" customHeight="1" x14ac:dyDescent="0.35">
      <c r="B7" s="111" t="s">
        <v>28</v>
      </c>
      <c r="C7" s="192" t="s">
        <v>321</v>
      </c>
      <c r="D7" s="193" t="s">
        <v>322</v>
      </c>
      <c r="E7" s="115" t="s">
        <v>28</v>
      </c>
    </row>
    <row r="8" spans="2:5" ht="49.4" customHeight="1" x14ac:dyDescent="0.25">
      <c r="B8" s="112" t="s">
        <v>44</v>
      </c>
      <c r="C8" s="194" t="s">
        <v>323</v>
      </c>
      <c r="D8" s="195" t="s">
        <v>324</v>
      </c>
      <c r="E8" s="115" t="s">
        <v>44</v>
      </c>
    </row>
    <row r="9" spans="2:5" ht="49.4" customHeight="1" x14ac:dyDescent="0.25">
      <c r="B9" s="113" t="s">
        <v>32</v>
      </c>
      <c r="C9" s="196" t="s">
        <v>325</v>
      </c>
      <c r="D9" s="195" t="s">
        <v>326</v>
      </c>
      <c r="E9" s="115" t="s">
        <v>32</v>
      </c>
    </row>
    <row r="10" spans="2:5" ht="49.4" customHeight="1" thickBot="1" x14ac:dyDescent="0.3">
      <c r="B10" s="114" t="s">
        <v>327</v>
      </c>
      <c r="C10" s="47" t="s">
        <v>328</v>
      </c>
      <c r="D10" s="197" t="s">
        <v>329</v>
      </c>
      <c r="E10" s="115" t="s">
        <v>327</v>
      </c>
    </row>
  </sheetData>
  <mergeCells count="2">
    <mergeCell ref="B3:D3"/>
    <mergeCell ref="B4:D4"/>
  </mergeCells>
  <conditionalFormatting sqref="E5:E10">
    <cfRule type="cellIs" dxfId="45" priority="1" operator="equal">
      <formula>$E$10</formula>
    </cfRule>
    <cfRule type="cellIs" dxfId="44" priority="2" operator="equal">
      <formula>$E$9</formula>
    </cfRule>
    <cfRule type="cellIs" dxfId="43" priority="3" operator="equal">
      <formula>$E$8</formula>
    </cfRule>
    <cfRule type="cellIs" dxfId="42" priority="4" operator="equal">
      <formula>$E$7</formula>
    </cfRule>
    <cfRule type="cellIs" dxfId="41" priority="5" operator="equal">
      <formula>$E$6</formula>
    </cfRule>
    <cfRule type="cellIs" dxfId="40" priority="6" operator="equal">
      <formula>$E$5</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4C233-55D4-4AB2-8E59-2AC00CFEDCBF}">
  <sheetPr>
    <tabColor theme="2"/>
    <pageSetUpPr fitToPage="1"/>
  </sheetPr>
  <dimension ref="A1:Z147"/>
  <sheetViews>
    <sheetView showGridLines="0" topLeftCell="H5" zoomScale="65" zoomScaleNormal="25" zoomScalePageLayoutView="70" workbookViewId="0">
      <selection activeCell="M9" sqref="M9:T9"/>
    </sheetView>
  </sheetViews>
  <sheetFormatPr defaultColWidth="8.54296875" defaultRowHeight="12.5" x14ac:dyDescent="0.25"/>
  <cols>
    <col min="1" max="1" width="9.1796875" style="2" hidden="1" customWidth="1"/>
    <col min="2" max="2" width="9" bestFit="1" customWidth="1"/>
    <col min="3" max="3" width="22.453125" customWidth="1"/>
    <col min="4" max="4" width="4" customWidth="1"/>
    <col min="5" max="8" width="17.81640625" customWidth="1"/>
    <col min="9" max="12" width="18.54296875" customWidth="1"/>
    <col min="13" max="16" width="19.453125" customWidth="1"/>
    <col min="17" max="20" width="17.453125" customWidth="1"/>
    <col min="21" max="24" width="18.54296875" customWidth="1"/>
    <col min="28" max="28" width="13.1796875" customWidth="1"/>
    <col min="29" max="29" width="16" customWidth="1"/>
  </cols>
  <sheetData>
    <row r="1" spans="1:26" s="2" customFormat="1" x14ac:dyDescent="0.25">
      <c r="A1" s="100" t="s">
        <v>179</v>
      </c>
      <c r="B1" s="2" t="s">
        <v>180</v>
      </c>
      <c r="C1" s="101" t="s">
        <v>181</v>
      </c>
      <c r="D1" s="2" t="s">
        <v>59</v>
      </c>
    </row>
    <row r="2" spans="1:26" ht="48" customHeight="1" x14ac:dyDescent="0.25">
      <c r="A2" s="107" t="s">
        <v>182</v>
      </c>
      <c r="B2" s="682" t="s">
        <v>330</v>
      </c>
      <c r="C2" s="682"/>
      <c r="D2" s="682"/>
      <c r="E2" s="682"/>
      <c r="F2" s="682"/>
      <c r="G2" s="682"/>
      <c r="H2" s="682"/>
      <c r="I2" s="682"/>
      <c r="J2" s="682"/>
      <c r="K2" s="682"/>
      <c r="L2" s="682"/>
      <c r="M2" s="122">
        <v>2026</v>
      </c>
      <c r="N2" s="108"/>
      <c r="O2" s="108"/>
      <c r="P2" s="498" t="s">
        <v>331</v>
      </c>
      <c r="Q2" s="498"/>
      <c r="R2" s="498"/>
      <c r="S2" s="108"/>
      <c r="T2" s="108"/>
      <c r="U2" s="108"/>
      <c r="V2" s="683" t="s">
        <v>183</v>
      </c>
      <c r="W2" s="683"/>
      <c r="X2" s="103" t="s">
        <v>332</v>
      </c>
    </row>
    <row r="3" spans="1:26" ht="13" thickBot="1" x14ac:dyDescent="0.3">
      <c r="B3" s="1"/>
      <c r="C3" s="1"/>
      <c r="D3" s="1"/>
      <c r="E3" s="1"/>
      <c r="F3" s="1"/>
      <c r="G3" s="1"/>
      <c r="H3" s="1"/>
      <c r="I3" s="1"/>
      <c r="J3" s="1"/>
      <c r="K3" s="1"/>
      <c r="L3" s="1"/>
      <c r="M3" s="1"/>
      <c r="N3" s="1"/>
      <c r="O3" s="1"/>
      <c r="P3" s="1"/>
      <c r="Q3" s="1"/>
      <c r="R3" s="1"/>
      <c r="S3" s="1"/>
      <c r="T3" s="1"/>
    </row>
    <row r="4" spans="1:26" ht="24" customHeight="1" thickTop="1" thickBot="1" x14ac:dyDescent="0.55000000000000004">
      <c r="B4" s="684"/>
      <c r="C4" s="685"/>
      <c r="D4" s="1"/>
      <c r="E4" s="506" t="s">
        <v>184</v>
      </c>
      <c r="F4" s="504"/>
      <c r="G4" s="504"/>
      <c r="H4" s="504"/>
      <c r="I4" s="504"/>
      <c r="J4" s="504"/>
      <c r="K4" s="505"/>
      <c r="L4" s="506" t="s">
        <v>333</v>
      </c>
      <c r="M4" s="504"/>
      <c r="N4" s="504"/>
      <c r="O4" s="504"/>
      <c r="P4" s="504"/>
      <c r="Q4" s="504"/>
      <c r="R4" s="507" t="s">
        <v>334</v>
      </c>
      <c r="S4" s="508"/>
      <c r="T4" s="508"/>
      <c r="U4" s="508"/>
      <c r="V4" s="508"/>
      <c r="W4" s="508"/>
      <c r="X4" s="508"/>
    </row>
    <row r="5" spans="1:26" ht="240" customHeight="1" thickTop="1" thickBot="1" x14ac:dyDescent="0.3">
      <c r="A5" s="102" t="s">
        <v>188</v>
      </c>
      <c r="B5" s="686"/>
      <c r="C5" s="687"/>
      <c r="D5" s="1"/>
      <c r="E5" s="688" t="s">
        <v>335</v>
      </c>
      <c r="F5" s="689"/>
      <c r="G5" s="689"/>
      <c r="H5" s="689"/>
      <c r="I5" s="689"/>
      <c r="J5" s="689"/>
      <c r="K5" s="690"/>
      <c r="L5" s="688" t="s">
        <v>336</v>
      </c>
      <c r="M5" s="689"/>
      <c r="N5" s="689"/>
      <c r="O5" s="689"/>
      <c r="P5" s="689"/>
      <c r="Q5" s="689"/>
      <c r="R5" s="691" t="s">
        <v>337</v>
      </c>
      <c r="S5" s="692"/>
      <c r="T5" s="692"/>
      <c r="U5" s="692"/>
      <c r="V5" s="692"/>
      <c r="W5" s="692"/>
      <c r="X5" s="692"/>
    </row>
    <row r="6" spans="1:26" ht="13.5" thickTop="1" thickBot="1" x14ac:dyDescent="0.3">
      <c r="C6" s="1"/>
      <c r="D6" s="29"/>
      <c r="E6" s="1"/>
      <c r="F6" s="1"/>
      <c r="G6" s="1"/>
      <c r="H6" s="1"/>
      <c r="I6" s="1"/>
      <c r="J6" s="1"/>
      <c r="K6" s="1"/>
      <c r="L6" s="1"/>
      <c r="M6" s="1"/>
      <c r="N6" s="1"/>
      <c r="O6" s="1"/>
      <c r="P6" s="1"/>
      <c r="Q6" s="1"/>
      <c r="R6" s="1"/>
      <c r="S6" s="1"/>
      <c r="T6" s="1"/>
      <c r="U6" s="1"/>
      <c r="V6" s="1"/>
      <c r="W6" s="1"/>
      <c r="X6" s="1"/>
    </row>
    <row r="7" spans="1:26" ht="27" customHeight="1" thickTop="1" x14ac:dyDescent="0.25">
      <c r="A7" s="102" t="s">
        <v>57</v>
      </c>
      <c r="B7" s="517" t="s">
        <v>189</v>
      </c>
      <c r="C7" s="693" t="s">
        <v>190</v>
      </c>
      <c r="D7" s="1"/>
      <c r="E7" s="695">
        <v>1</v>
      </c>
      <c r="F7" s="696"/>
      <c r="G7" s="696"/>
      <c r="H7" s="697"/>
      <c r="I7" s="519">
        <v>2</v>
      </c>
      <c r="J7" s="520"/>
      <c r="K7" s="520"/>
      <c r="L7" s="521"/>
      <c r="M7" s="525">
        <v>3</v>
      </c>
      <c r="N7" s="526"/>
      <c r="O7" s="526"/>
      <c r="P7" s="527"/>
      <c r="Q7" s="522">
        <v>4</v>
      </c>
      <c r="R7" s="523"/>
      <c r="S7" s="523"/>
      <c r="T7" s="524"/>
      <c r="U7" s="528">
        <v>5</v>
      </c>
      <c r="V7" s="529"/>
      <c r="W7" s="529"/>
      <c r="X7" s="530"/>
    </row>
    <row r="8" spans="1:26" ht="45.75" customHeight="1" x14ac:dyDescent="0.25">
      <c r="A8" s="102" t="s">
        <v>182</v>
      </c>
      <c r="B8" s="518"/>
      <c r="C8" s="694"/>
      <c r="D8" s="1"/>
      <c r="E8" s="738" t="s">
        <v>338</v>
      </c>
      <c r="F8" s="739"/>
      <c r="G8" s="739"/>
      <c r="H8" s="740"/>
      <c r="I8" s="531" t="s">
        <v>339</v>
      </c>
      <c r="J8" s="532"/>
      <c r="K8" s="532"/>
      <c r="L8" s="533"/>
      <c r="M8" s="537" t="s">
        <v>340</v>
      </c>
      <c r="N8" s="538"/>
      <c r="O8" s="538"/>
      <c r="P8" s="539"/>
      <c r="Q8" s="534" t="s">
        <v>341</v>
      </c>
      <c r="R8" s="535"/>
      <c r="S8" s="535"/>
      <c r="T8" s="536"/>
      <c r="U8" s="540" t="s">
        <v>342</v>
      </c>
      <c r="V8" s="541"/>
      <c r="W8" s="541"/>
      <c r="X8" s="542"/>
    </row>
    <row r="9" spans="1:26" ht="292.39999999999998" customHeight="1" x14ac:dyDescent="0.25">
      <c r="A9" s="102" t="s">
        <v>191</v>
      </c>
      <c r="B9" s="518"/>
      <c r="C9" s="120" t="s">
        <v>192</v>
      </c>
      <c r="D9" s="1"/>
      <c r="E9" s="698" t="s">
        <v>343</v>
      </c>
      <c r="F9" s="699"/>
      <c r="G9" s="699"/>
      <c r="H9" s="700"/>
      <c r="I9" s="701" t="s">
        <v>344</v>
      </c>
      <c r="J9" s="702"/>
      <c r="K9" s="702"/>
      <c r="L9" s="703"/>
      <c r="M9" s="704" t="s">
        <v>345</v>
      </c>
      <c r="N9" s="705"/>
      <c r="O9" s="705"/>
      <c r="P9" s="706"/>
      <c r="Q9" s="707" t="s">
        <v>346</v>
      </c>
      <c r="R9" s="708"/>
      <c r="S9" s="708"/>
      <c r="T9" s="709"/>
      <c r="U9" s="720" t="s">
        <v>347</v>
      </c>
      <c r="V9" s="721"/>
      <c r="W9" s="721"/>
      <c r="X9" s="722"/>
      <c r="Z9" s="7" t="s">
        <v>193</v>
      </c>
    </row>
    <row r="10" spans="1:26" ht="39" hidden="1" customHeight="1" thickBot="1" x14ac:dyDescent="0.3">
      <c r="A10" s="102" t="s">
        <v>182</v>
      </c>
      <c r="B10" s="518"/>
      <c r="C10" s="104"/>
      <c r="D10" s="1"/>
      <c r="E10" s="723"/>
      <c r="F10" s="724"/>
      <c r="G10" s="724"/>
      <c r="H10" s="725"/>
      <c r="I10" s="726"/>
      <c r="J10" s="727"/>
      <c r="K10" s="727"/>
      <c r="L10" s="728"/>
      <c r="M10" s="729"/>
      <c r="N10" s="730"/>
      <c r="O10" s="730"/>
      <c r="P10" s="731"/>
      <c r="Q10" s="732"/>
      <c r="R10" s="733"/>
      <c r="S10" s="733"/>
      <c r="T10" s="734"/>
      <c r="U10" s="735"/>
      <c r="V10" s="736"/>
      <c r="W10" s="736"/>
      <c r="X10" s="737"/>
    </row>
    <row r="11" spans="1:26" ht="13" thickBot="1" x14ac:dyDescent="0.3">
      <c r="B11" s="518"/>
      <c r="C11" s="1"/>
      <c r="D11" s="1"/>
      <c r="E11" s="1"/>
      <c r="F11" s="1"/>
      <c r="G11" s="1"/>
      <c r="H11" s="1"/>
      <c r="I11" s="1"/>
      <c r="J11" s="1"/>
      <c r="K11" s="1"/>
      <c r="L11" s="1"/>
      <c r="M11" s="1"/>
      <c r="N11" s="1"/>
      <c r="O11" s="1"/>
      <c r="P11" s="1"/>
      <c r="Q11" s="1"/>
      <c r="R11" s="1"/>
      <c r="S11" s="1"/>
      <c r="T11" s="1"/>
      <c r="U11" s="1"/>
      <c r="V11" s="1"/>
      <c r="W11" s="1"/>
      <c r="X11" s="1"/>
    </row>
    <row r="12" spans="1:26" ht="42" customHeight="1" thickTop="1" thickBot="1" x14ac:dyDescent="0.3">
      <c r="A12" s="102" t="s">
        <v>182</v>
      </c>
      <c r="B12" s="518"/>
      <c r="C12" s="658" t="s">
        <v>194</v>
      </c>
      <c r="D12" s="1"/>
      <c r="E12" s="129" t="s">
        <v>195</v>
      </c>
      <c r="F12" s="747" t="s">
        <v>348</v>
      </c>
      <c r="G12" s="747"/>
      <c r="H12" s="747"/>
      <c r="I12" s="130" t="s">
        <v>196</v>
      </c>
      <c r="J12" s="748" t="s">
        <v>349</v>
      </c>
      <c r="K12" s="749"/>
      <c r="L12" s="749"/>
      <c r="M12" s="131" t="s">
        <v>350</v>
      </c>
      <c r="N12" s="632" t="s">
        <v>351</v>
      </c>
      <c r="O12" s="632"/>
      <c r="P12" s="632"/>
      <c r="Q12" s="132" t="s">
        <v>198</v>
      </c>
      <c r="R12" s="710" t="s">
        <v>352</v>
      </c>
      <c r="S12" s="710"/>
      <c r="T12" s="710"/>
      <c r="U12" s="133" t="s">
        <v>353</v>
      </c>
      <c r="V12" s="585" t="s">
        <v>354</v>
      </c>
      <c r="W12" s="585"/>
      <c r="X12" s="585"/>
    </row>
    <row r="13" spans="1:26" ht="120" customHeight="1" thickTop="1" thickBot="1" x14ac:dyDescent="0.3">
      <c r="A13" s="102" t="s">
        <v>191</v>
      </c>
      <c r="B13" s="518"/>
      <c r="C13" s="659"/>
      <c r="D13" s="29"/>
      <c r="E13" s="168" t="s">
        <v>200</v>
      </c>
      <c r="F13" s="719" t="s">
        <v>355</v>
      </c>
      <c r="G13" s="713"/>
      <c r="H13" s="713"/>
      <c r="I13" s="168" t="s">
        <v>200</v>
      </c>
      <c r="J13" s="714" t="s">
        <v>356</v>
      </c>
      <c r="K13" s="715"/>
      <c r="L13" s="715"/>
      <c r="M13" s="168" t="s">
        <v>200</v>
      </c>
      <c r="N13" s="750" t="s">
        <v>357</v>
      </c>
      <c r="O13" s="717"/>
      <c r="P13" s="717"/>
      <c r="Q13" s="168" t="s">
        <v>200</v>
      </c>
      <c r="R13" s="711" t="s">
        <v>358</v>
      </c>
      <c r="S13" s="712"/>
      <c r="T13" s="712"/>
      <c r="U13" s="168" t="s">
        <v>200</v>
      </c>
      <c r="V13" s="605"/>
      <c r="W13" s="605"/>
      <c r="X13" s="605"/>
    </row>
    <row r="14" spans="1:26" ht="16.5" thickTop="1" thickBot="1" x14ac:dyDescent="0.3">
      <c r="A14" s="102" t="s">
        <v>75</v>
      </c>
      <c r="B14" s="518"/>
      <c r="C14" s="659"/>
      <c r="D14" s="1"/>
      <c r="E14" s="124" t="s">
        <v>201</v>
      </c>
      <c r="F14" s="741"/>
      <c r="G14" s="741"/>
      <c r="H14" s="741"/>
      <c r="I14" s="125" t="s">
        <v>201</v>
      </c>
      <c r="J14" s="742"/>
      <c r="K14" s="742"/>
      <c r="L14" s="742"/>
      <c r="M14" s="126" t="s">
        <v>201</v>
      </c>
      <c r="N14" s="743"/>
      <c r="O14" s="743"/>
      <c r="P14" s="743"/>
      <c r="Q14" s="127" t="s">
        <v>201</v>
      </c>
      <c r="R14" s="744"/>
      <c r="S14" s="744"/>
      <c r="T14" s="744"/>
      <c r="U14" s="128" t="s">
        <v>201</v>
      </c>
      <c r="V14" s="745"/>
      <c r="W14" s="745"/>
      <c r="X14" s="745"/>
    </row>
    <row r="15" spans="1:26" ht="42" customHeight="1" thickTop="1" thickBot="1" x14ac:dyDescent="0.3">
      <c r="A15" s="102"/>
      <c r="B15" s="518"/>
      <c r="C15" s="659"/>
      <c r="D15" s="1"/>
      <c r="E15" s="129"/>
      <c r="F15" s="751" t="s">
        <v>359</v>
      </c>
      <c r="G15" s="751"/>
      <c r="H15" s="751"/>
      <c r="I15" s="130"/>
      <c r="J15" s="748" t="s">
        <v>360</v>
      </c>
      <c r="K15" s="749"/>
      <c r="L15" s="749"/>
      <c r="M15" s="131"/>
      <c r="N15" s="632" t="s">
        <v>361</v>
      </c>
      <c r="O15" s="632"/>
      <c r="P15" s="632"/>
      <c r="Q15" s="132"/>
      <c r="R15" s="710" t="s">
        <v>362</v>
      </c>
      <c r="S15" s="710"/>
      <c r="T15" s="710"/>
      <c r="U15" s="133"/>
      <c r="V15" s="585" t="s">
        <v>363</v>
      </c>
      <c r="W15" s="585"/>
      <c r="X15" s="585"/>
    </row>
    <row r="16" spans="1:26" ht="120" customHeight="1" thickTop="1" thickBot="1" x14ac:dyDescent="0.3">
      <c r="A16" s="102"/>
      <c r="B16" s="518"/>
      <c r="C16" s="659"/>
      <c r="D16" s="1"/>
      <c r="E16" s="168" t="s">
        <v>200</v>
      </c>
      <c r="F16" s="713"/>
      <c r="G16" s="713"/>
      <c r="H16" s="713"/>
      <c r="I16" s="168" t="s">
        <v>200</v>
      </c>
      <c r="J16" s="714"/>
      <c r="K16" s="715"/>
      <c r="L16" s="715"/>
      <c r="M16" s="168" t="s">
        <v>200</v>
      </c>
      <c r="N16" s="716"/>
      <c r="O16" s="717"/>
      <c r="P16" s="717"/>
      <c r="Q16" s="168" t="s">
        <v>200</v>
      </c>
      <c r="R16" s="711"/>
      <c r="S16" s="712"/>
      <c r="T16" s="712"/>
      <c r="U16" s="168" t="s">
        <v>200</v>
      </c>
      <c r="V16" s="605"/>
      <c r="W16" s="605"/>
      <c r="X16" s="605"/>
    </row>
    <row r="17" spans="1:24" ht="16.5" thickTop="1" thickBot="1" x14ac:dyDescent="0.3">
      <c r="A17" s="102"/>
      <c r="B17" s="518"/>
      <c r="C17" s="659"/>
      <c r="D17" s="1"/>
      <c r="E17" s="124"/>
      <c r="F17" s="741"/>
      <c r="G17" s="741"/>
      <c r="H17" s="741"/>
      <c r="I17" s="125"/>
      <c r="J17" s="742"/>
      <c r="K17" s="742"/>
      <c r="L17" s="742"/>
      <c r="M17" s="126"/>
      <c r="N17" s="743"/>
      <c r="O17" s="743"/>
      <c r="P17" s="743"/>
      <c r="Q17" s="127"/>
      <c r="R17" s="744"/>
      <c r="S17" s="744"/>
      <c r="T17" s="744"/>
      <c r="U17" s="128"/>
      <c r="V17" s="745"/>
      <c r="W17" s="745"/>
      <c r="X17" s="745"/>
    </row>
    <row r="18" spans="1:24" ht="42" customHeight="1" thickTop="1" thickBot="1" x14ac:dyDescent="0.3">
      <c r="A18" s="102" t="s">
        <v>182</v>
      </c>
      <c r="B18" s="518"/>
      <c r="C18" s="659"/>
      <c r="D18" s="1"/>
      <c r="E18" s="129"/>
      <c r="F18" s="747" t="s">
        <v>364</v>
      </c>
      <c r="G18" s="747"/>
      <c r="H18" s="747"/>
      <c r="I18" s="130"/>
      <c r="J18" s="748" t="s">
        <v>365</v>
      </c>
      <c r="K18" s="749"/>
      <c r="L18" s="749"/>
      <c r="M18" s="131"/>
      <c r="N18" s="632" t="s">
        <v>366</v>
      </c>
      <c r="O18" s="632"/>
      <c r="P18" s="632"/>
      <c r="Q18" s="132"/>
      <c r="R18" s="710" t="s">
        <v>367</v>
      </c>
      <c r="S18" s="710"/>
      <c r="T18" s="710"/>
      <c r="U18" s="133"/>
      <c r="V18" s="585" t="s">
        <v>199</v>
      </c>
      <c r="W18" s="585"/>
      <c r="X18" s="585"/>
    </row>
    <row r="19" spans="1:24" ht="120" customHeight="1" thickTop="1" thickBot="1" x14ac:dyDescent="0.3">
      <c r="A19" s="102" t="s">
        <v>191</v>
      </c>
      <c r="B19" s="518"/>
      <c r="C19" s="659"/>
      <c r="D19" s="1"/>
      <c r="E19" s="168" t="s">
        <v>200</v>
      </c>
      <c r="F19" s="713"/>
      <c r="G19" s="713"/>
      <c r="H19" s="713"/>
      <c r="I19" s="168" t="s">
        <v>200</v>
      </c>
      <c r="J19" s="714"/>
      <c r="K19" s="715"/>
      <c r="L19" s="715"/>
      <c r="M19" s="168" t="s">
        <v>200</v>
      </c>
      <c r="N19" s="716"/>
      <c r="O19" s="717"/>
      <c r="P19" s="717"/>
      <c r="Q19" s="168" t="s">
        <v>200</v>
      </c>
      <c r="R19" s="711"/>
      <c r="S19" s="712"/>
      <c r="T19" s="712"/>
      <c r="U19" s="168" t="s">
        <v>200</v>
      </c>
      <c r="V19" s="605"/>
      <c r="W19" s="605"/>
      <c r="X19" s="605"/>
    </row>
    <row r="20" spans="1:24" ht="15.75" customHeight="1" thickTop="1" thickBot="1" x14ac:dyDescent="0.3">
      <c r="A20" s="102" t="s">
        <v>75</v>
      </c>
      <c r="B20" s="518"/>
      <c r="C20" s="659"/>
      <c r="D20" s="1"/>
      <c r="E20" s="124"/>
      <c r="F20" s="741"/>
      <c r="G20" s="741"/>
      <c r="H20" s="741"/>
      <c r="I20" s="125"/>
      <c r="J20" s="742"/>
      <c r="K20" s="742"/>
      <c r="L20" s="742"/>
      <c r="M20" s="126"/>
      <c r="N20" s="743"/>
      <c r="O20" s="743"/>
      <c r="P20" s="743"/>
      <c r="Q20" s="127"/>
      <c r="R20" s="744"/>
      <c r="S20" s="744"/>
      <c r="T20" s="744"/>
      <c r="U20" s="128"/>
      <c r="V20" s="745"/>
      <c r="W20" s="745"/>
      <c r="X20" s="745"/>
    </row>
    <row r="21" spans="1:24" ht="42" customHeight="1" thickTop="1" thickBot="1" x14ac:dyDescent="0.3">
      <c r="A21" s="102" t="s">
        <v>182</v>
      </c>
      <c r="B21" s="518"/>
      <c r="C21" s="659"/>
      <c r="D21" s="1"/>
      <c r="E21" s="129"/>
      <c r="F21" s="747" t="s">
        <v>368</v>
      </c>
      <c r="G21" s="747"/>
      <c r="H21" s="747"/>
      <c r="I21" s="130"/>
      <c r="J21" s="748" t="s">
        <v>369</v>
      </c>
      <c r="K21" s="749"/>
      <c r="L21" s="749"/>
      <c r="M21" s="131"/>
      <c r="N21" s="632" t="s">
        <v>370</v>
      </c>
      <c r="O21" s="632"/>
      <c r="P21" s="632"/>
      <c r="Q21" s="132"/>
      <c r="R21" s="710" t="s">
        <v>371</v>
      </c>
      <c r="S21" s="710"/>
      <c r="T21" s="710"/>
      <c r="U21" s="133"/>
      <c r="V21" s="585" t="s">
        <v>372</v>
      </c>
      <c r="W21" s="585"/>
      <c r="X21" s="585"/>
    </row>
    <row r="22" spans="1:24" ht="186" customHeight="1" thickTop="1" thickBot="1" x14ac:dyDescent="0.3">
      <c r="A22" s="102" t="s">
        <v>191</v>
      </c>
      <c r="B22" s="518"/>
      <c r="C22" s="659"/>
      <c r="D22" s="1"/>
      <c r="E22" s="168" t="s">
        <v>200</v>
      </c>
      <c r="F22" s="713"/>
      <c r="G22" s="713"/>
      <c r="H22" s="713"/>
      <c r="I22" s="168" t="s">
        <v>200</v>
      </c>
      <c r="J22" s="714"/>
      <c r="K22" s="715"/>
      <c r="L22" s="715"/>
      <c r="M22" s="168" t="s">
        <v>200</v>
      </c>
      <c r="N22" s="718"/>
      <c r="O22" s="717"/>
      <c r="P22" s="717"/>
      <c r="Q22" s="168" t="s">
        <v>200</v>
      </c>
      <c r="R22" s="711"/>
      <c r="S22" s="712"/>
      <c r="T22" s="712"/>
      <c r="U22" s="168" t="s">
        <v>200</v>
      </c>
      <c r="V22" s="605"/>
      <c r="W22" s="605"/>
      <c r="X22" s="605"/>
    </row>
    <row r="23" spans="1:24" ht="15.75" customHeight="1" thickTop="1" thickBot="1" x14ac:dyDescent="0.3">
      <c r="A23" s="102" t="s">
        <v>75</v>
      </c>
      <c r="B23" s="518"/>
      <c r="C23" s="659"/>
      <c r="D23" s="1"/>
      <c r="E23" s="124"/>
      <c r="F23" s="741"/>
      <c r="G23" s="741"/>
      <c r="H23" s="741"/>
      <c r="I23" s="125"/>
      <c r="J23" s="742"/>
      <c r="K23" s="742"/>
      <c r="L23" s="742"/>
      <c r="M23" s="126"/>
      <c r="N23" s="743"/>
      <c r="O23" s="743"/>
      <c r="P23" s="743"/>
      <c r="Q23" s="127"/>
      <c r="R23" s="744"/>
      <c r="S23" s="744"/>
      <c r="T23" s="744"/>
      <c r="U23" s="128"/>
      <c r="V23" s="745"/>
      <c r="W23" s="745"/>
      <c r="X23" s="745"/>
    </row>
    <row r="24" spans="1:24" ht="42" customHeight="1" thickTop="1" thickBot="1" x14ac:dyDescent="0.3">
      <c r="A24" s="102" t="s">
        <v>182</v>
      </c>
      <c r="B24" s="518"/>
      <c r="C24" s="659"/>
      <c r="D24" s="1"/>
      <c r="E24" s="129"/>
      <c r="F24" s="747" t="s">
        <v>373</v>
      </c>
      <c r="G24" s="747"/>
      <c r="H24" s="747"/>
      <c r="I24" s="130"/>
      <c r="J24" s="748" t="s">
        <v>374</v>
      </c>
      <c r="K24" s="749"/>
      <c r="L24" s="749"/>
      <c r="M24" s="131"/>
      <c r="N24" s="632" t="s">
        <v>375</v>
      </c>
      <c r="O24" s="632"/>
      <c r="P24" s="632"/>
      <c r="Q24" s="132"/>
      <c r="R24" s="710" t="s">
        <v>376</v>
      </c>
      <c r="S24" s="710"/>
      <c r="T24" s="710"/>
      <c r="U24" s="133"/>
      <c r="V24" s="585" t="s">
        <v>377</v>
      </c>
      <c r="W24" s="585"/>
      <c r="X24" s="585"/>
    </row>
    <row r="25" spans="1:24" ht="120" customHeight="1" thickTop="1" thickBot="1" x14ac:dyDescent="0.3">
      <c r="A25" s="102" t="s">
        <v>191</v>
      </c>
      <c r="B25" s="518"/>
      <c r="C25" s="659"/>
      <c r="D25" s="1"/>
      <c r="E25" s="168" t="s">
        <v>200</v>
      </c>
      <c r="F25" s="719"/>
      <c r="G25" s="713"/>
      <c r="H25" s="713"/>
      <c r="I25" s="168" t="s">
        <v>200</v>
      </c>
      <c r="J25" s="714"/>
      <c r="K25" s="715"/>
      <c r="L25" s="715"/>
      <c r="M25" s="168" t="s">
        <v>200</v>
      </c>
      <c r="N25" s="716"/>
      <c r="O25" s="717"/>
      <c r="P25" s="717"/>
      <c r="Q25" s="168" t="s">
        <v>200</v>
      </c>
      <c r="R25" s="711"/>
      <c r="S25" s="712"/>
      <c r="T25" s="712"/>
      <c r="U25" s="168" t="s">
        <v>200</v>
      </c>
      <c r="V25" s="605"/>
      <c r="W25" s="605"/>
      <c r="X25" s="605"/>
    </row>
    <row r="26" spans="1:24" ht="17.149999999999999" customHeight="1" thickTop="1" thickBot="1" x14ac:dyDescent="0.3">
      <c r="A26" s="102" t="s">
        <v>75</v>
      </c>
      <c r="B26" s="518"/>
      <c r="C26" s="659"/>
      <c r="D26" s="1"/>
      <c r="E26" s="124"/>
      <c r="F26" s="741"/>
      <c r="G26" s="741"/>
      <c r="H26" s="741"/>
      <c r="I26" s="125"/>
      <c r="J26" s="742"/>
      <c r="K26" s="742"/>
      <c r="L26" s="742"/>
      <c r="M26" s="126"/>
      <c r="N26" s="743"/>
      <c r="O26" s="743"/>
      <c r="P26" s="743"/>
      <c r="Q26" s="127"/>
      <c r="R26" s="744"/>
      <c r="S26" s="744"/>
      <c r="T26" s="744"/>
      <c r="U26" s="128"/>
      <c r="V26" s="745"/>
      <c r="W26" s="745"/>
      <c r="X26" s="745"/>
    </row>
    <row r="27" spans="1:24" ht="15" hidden="1" customHeight="1" thickTop="1" x14ac:dyDescent="0.25">
      <c r="A27" s="102" t="s">
        <v>182</v>
      </c>
      <c r="B27" s="518"/>
      <c r="C27" s="659"/>
      <c r="D27" s="1"/>
      <c r="E27" s="134"/>
      <c r="F27" s="752"/>
      <c r="G27" s="752"/>
      <c r="H27" s="752"/>
      <c r="I27" s="130"/>
      <c r="J27" s="753"/>
      <c r="K27" s="754"/>
      <c r="L27" s="755"/>
      <c r="M27" s="135"/>
      <c r="N27" s="756"/>
      <c r="O27" s="756"/>
      <c r="P27" s="756"/>
      <c r="Q27" s="134"/>
      <c r="R27" s="710"/>
      <c r="S27" s="710"/>
      <c r="T27" s="710"/>
      <c r="U27" s="136"/>
      <c r="V27" s="757"/>
      <c r="W27" s="757"/>
      <c r="X27" s="757"/>
    </row>
    <row r="28" spans="1:24" ht="15" hidden="1" customHeight="1" x14ac:dyDescent="0.25">
      <c r="A28" s="102" t="s">
        <v>191</v>
      </c>
      <c r="B28" s="518"/>
      <c r="C28" s="659"/>
      <c r="D28" s="1"/>
      <c r="E28" s="137"/>
      <c r="F28" s="713"/>
      <c r="G28" s="758"/>
      <c r="H28" s="758"/>
      <c r="I28" s="138"/>
      <c r="J28" s="637"/>
      <c r="K28" s="759"/>
      <c r="L28" s="760"/>
      <c r="M28" s="139"/>
      <c r="N28" s="761"/>
      <c r="O28" s="762"/>
      <c r="P28" s="762"/>
      <c r="Q28" s="140"/>
      <c r="R28" s="711"/>
      <c r="S28" s="712"/>
      <c r="T28" s="712"/>
      <c r="U28" s="139"/>
      <c r="V28" s="761"/>
      <c r="W28" s="761"/>
      <c r="X28" s="761"/>
    </row>
    <row r="29" spans="1:24" ht="15" hidden="1" customHeight="1" thickBot="1" x14ac:dyDescent="0.3">
      <c r="A29" s="102" t="s">
        <v>75</v>
      </c>
      <c r="B29" s="518"/>
      <c r="C29" s="659"/>
      <c r="D29" s="1"/>
      <c r="E29" s="141"/>
      <c r="F29" s="741"/>
      <c r="G29" s="741"/>
      <c r="H29" s="741"/>
      <c r="I29" s="142"/>
      <c r="J29" s="598"/>
      <c r="K29" s="599"/>
      <c r="L29" s="600"/>
      <c r="M29" s="143"/>
      <c r="N29" s="763"/>
      <c r="O29" s="763"/>
      <c r="P29" s="763"/>
      <c r="Q29" s="144"/>
      <c r="R29" s="744"/>
      <c r="S29" s="744"/>
      <c r="T29" s="744"/>
      <c r="U29" s="143"/>
      <c r="V29" s="763"/>
      <c r="W29" s="763"/>
      <c r="X29" s="763"/>
    </row>
    <row r="30" spans="1:24" ht="42" customHeight="1" thickTop="1" thickBot="1" x14ac:dyDescent="0.3">
      <c r="A30" s="102" t="s">
        <v>182</v>
      </c>
      <c r="B30" s="518"/>
      <c r="C30" s="659"/>
      <c r="D30" s="1"/>
      <c r="E30" s="129"/>
      <c r="F30" s="747" t="s">
        <v>378</v>
      </c>
      <c r="G30" s="747"/>
      <c r="H30" s="747"/>
      <c r="I30" s="130"/>
      <c r="J30" s="748" t="s">
        <v>379</v>
      </c>
      <c r="K30" s="749"/>
      <c r="L30" s="749"/>
      <c r="M30" s="131"/>
      <c r="N30" s="632" t="s">
        <v>380</v>
      </c>
      <c r="O30" s="632"/>
      <c r="P30" s="632"/>
      <c r="Q30" s="132"/>
      <c r="R30" s="710" t="s">
        <v>381</v>
      </c>
      <c r="S30" s="710"/>
      <c r="T30" s="710"/>
      <c r="U30" s="133"/>
      <c r="V30" s="585" t="s">
        <v>382</v>
      </c>
      <c r="W30" s="585"/>
      <c r="X30" s="585"/>
    </row>
    <row r="31" spans="1:24" ht="120" customHeight="1" thickTop="1" thickBot="1" x14ac:dyDescent="0.3">
      <c r="A31" s="102" t="s">
        <v>191</v>
      </c>
      <c r="B31" s="518"/>
      <c r="C31" s="659"/>
      <c r="D31" s="1"/>
      <c r="E31" s="168" t="s">
        <v>200</v>
      </c>
      <c r="F31" s="713"/>
      <c r="G31" s="713"/>
      <c r="H31" s="713"/>
      <c r="I31" s="168" t="s">
        <v>200</v>
      </c>
      <c r="J31" s="714"/>
      <c r="K31" s="715"/>
      <c r="L31" s="715"/>
      <c r="M31" s="168" t="s">
        <v>200</v>
      </c>
      <c r="N31" s="716"/>
      <c r="O31" s="717"/>
      <c r="P31" s="717"/>
      <c r="Q31" s="168" t="s">
        <v>200</v>
      </c>
      <c r="R31" s="622"/>
      <c r="S31" s="764"/>
      <c r="T31" s="765"/>
      <c r="U31" s="168" t="s">
        <v>200</v>
      </c>
      <c r="V31" s="605"/>
      <c r="W31" s="605"/>
      <c r="X31" s="605"/>
    </row>
    <row r="32" spans="1:24" ht="15.65" customHeight="1" thickTop="1" thickBot="1" x14ac:dyDescent="0.3">
      <c r="A32" s="102"/>
      <c r="B32" s="518"/>
      <c r="C32" s="659"/>
      <c r="D32" s="1"/>
      <c r="E32" s="124"/>
      <c r="F32" s="741"/>
      <c r="G32" s="741"/>
      <c r="H32" s="741"/>
      <c r="I32" s="125"/>
      <c r="J32" s="742"/>
      <c r="K32" s="742"/>
      <c r="L32" s="742"/>
      <c r="M32" s="126"/>
      <c r="N32" s="743"/>
      <c r="O32" s="743"/>
      <c r="P32" s="743"/>
      <c r="Q32" s="127"/>
      <c r="R32" s="744"/>
      <c r="S32" s="744"/>
      <c r="T32" s="744"/>
      <c r="U32" s="128"/>
      <c r="V32" s="745"/>
      <c r="W32" s="745"/>
      <c r="X32" s="745"/>
    </row>
    <row r="33" spans="1:24" ht="51.65" customHeight="1" thickTop="1" thickBot="1" x14ac:dyDescent="0.3">
      <c r="A33" s="102"/>
      <c r="B33" s="518"/>
      <c r="C33" s="659"/>
      <c r="D33" s="1"/>
      <c r="E33" s="129"/>
      <c r="F33" s="747" t="s">
        <v>383</v>
      </c>
      <c r="G33" s="747"/>
      <c r="H33" s="747"/>
      <c r="I33" s="130"/>
      <c r="J33" s="766" t="s">
        <v>384</v>
      </c>
      <c r="K33" s="767"/>
      <c r="L33" s="767"/>
      <c r="M33" s="131"/>
      <c r="N33" s="632" t="s">
        <v>385</v>
      </c>
      <c r="O33" s="632"/>
      <c r="P33" s="632"/>
      <c r="Q33" s="145"/>
      <c r="R33" s="710"/>
      <c r="S33" s="710"/>
      <c r="T33" s="710"/>
      <c r="U33" s="133"/>
      <c r="V33" s="585" t="s">
        <v>386</v>
      </c>
      <c r="W33" s="585"/>
      <c r="X33" s="585"/>
    </row>
    <row r="34" spans="1:24" ht="120" customHeight="1" thickTop="1" thickBot="1" x14ac:dyDescent="0.3">
      <c r="A34" s="102"/>
      <c r="B34" s="518"/>
      <c r="C34" s="659"/>
      <c r="D34" s="1"/>
      <c r="E34" s="168" t="s">
        <v>200</v>
      </c>
      <c r="F34" s="713"/>
      <c r="G34" s="713"/>
      <c r="H34" s="713"/>
      <c r="I34" s="168" t="s">
        <v>200</v>
      </c>
      <c r="J34" s="714"/>
      <c r="K34" s="715"/>
      <c r="L34" s="715"/>
      <c r="M34" s="168" t="s">
        <v>200</v>
      </c>
      <c r="N34" s="716"/>
      <c r="O34" s="717"/>
      <c r="P34" s="717"/>
      <c r="Q34" s="168" t="s">
        <v>200</v>
      </c>
      <c r="R34" s="711"/>
      <c r="S34" s="712"/>
      <c r="T34" s="712"/>
      <c r="U34" s="168" t="s">
        <v>200</v>
      </c>
      <c r="V34" s="605"/>
      <c r="W34" s="605"/>
      <c r="X34" s="605"/>
    </row>
    <row r="35" spans="1:24" ht="15.65" customHeight="1" thickTop="1" thickBot="1" x14ac:dyDescent="0.3">
      <c r="A35" s="102"/>
      <c r="B35" s="518"/>
      <c r="C35" s="659"/>
      <c r="D35" s="1"/>
      <c r="E35" s="124"/>
      <c r="F35" s="741"/>
      <c r="G35" s="741"/>
      <c r="H35" s="741"/>
      <c r="I35" s="125"/>
      <c r="J35" s="742"/>
      <c r="K35" s="742"/>
      <c r="L35" s="742"/>
      <c r="M35" s="126"/>
      <c r="N35" s="743"/>
      <c r="O35" s="743"/>
      <c r="P35" s="743"/>
      <c r="Q35" s="127"/>
      <c r="R35" s="744"/>
      <c r="S35" s="744"/>
      <c r="T35" s="744"/>
      <c r="U35" s="128"/>
      <c r="V35" s="745"/>
      <c r="W35" s="745"/>
      <c r="X35" s="745"/>
    </row>
    <row r="36" spans="1:24" ht="49.4" customHeight="1" thickTop="1" thickBot="1" x14ac:dyDescent="0.3">
      <c r="A36" s="102"/>
      <c r="B36" s="518"/>
      <c r="C36" s="659"/>
      <c r="D36" s="1"/>
      <c r="E36" s="129"/>
      <c r="F36" s="747" t="s">
        <v>387</v>
      </c>
      <c r="G36" s="747"/>
      <c r="H36" s="747"/>
      <c r="I36" s="130"/>
      <c r="J36" s="748" t="s">
        <v>388</v>
      </c>
      <c r="K36" s="749"/>
      <c r="L36" s="749"/>
      <c r="M36" s="131"/>
      <c r="N36" s="632"/>
      <c r="O36" s="632"/>
      <c r="P36" s="632"/>
      <c r="Q36" s="145"/>
      <c r="R36" s="710"/>
      <c r="S36" s="710"/>
      <c r="T36" s="710"/>
      <c r="U36" s="133"/>
      <c r="V36" s="585"/>
      <c r="W36" s="585"/>
      <c r="X36" s="585"/>
    </row>
    <row r="37" spans="1:24" ht="120" customHeight="1" thickTop="1" thickBot="1" x14ac:dyDescent="0.3">
      <c r="A37" s="102"/>
      <c r="B37" s="518"/>
      <c r="C37" s="659"/>
      <c r="D37" s="1"/>
      <c r="E37" s="168" t="s">
        <v>200</v>
      </c>
      <c r="F37" s="713"/>
      <c r="G37" s="768"/>
      <c r="H37" s="768"/>
      <c r="I37" s="168" t="s">
        <v>200</v>
      </c>
      <c r="J37" s="714"/>
      <c r="K37" s="715"/>
      <c r="L37" s="715"/>
      <c r="M37" s="168"/>
      <c r="N37" s="716"/>
      <c r="O37" s="717"/>
      <c r="P37" s="717"/>
      <c r="Q37" s="168"/>
      <c r="R37" s="711"/>
      <c r="S37" s="712"/>
      <c r="T37" s="712"/>
      <c r="U37" s="168"/>
      <c r="V37" s="605"/>
      <c r="W37" s="605"/>
      <c r="X37" s="605"/>
    </row>
    <row r="38" spans="1:24" ht="16.5" thickTop="1" thickBot="1" x14ac:dyDescent="0.3">
      <c r="A38" s="102" t="s">
        <v>75</v>
      </c>
      <c r="B38" s="518"/>
      <c r="C38" s="746"/>
      <c r="D38" s="1"/>
      <c r="E38" s="124"/>
      <c r="F38" s="741"/>
      <c r="G38" s="741"/>
      <c r="H38" s="741"/>
      <c r="I38" s="125"/>
      <c r="J38" s="742"/>
      <c r="K38" s="742"/>
      <c r="L38" s="742"/>
      <c r="M38" s="126"/>
      <c r="N38" s="743"/>
      <c r="O38" s="743"/>
      <c r="P38" s="743"/>
      <c r="Q38" s="127"/>
      <c r="R38" s="744"/>
      <c r="S38" s="744"/>
      <c r="T38" s="744"/>
      <c r="U38" s="128"/>
      <c r="V38" s="745"/>
      <c r="W38" s="745"/>
      <c r="X38" s="745"/>
    </row>
    <row r="39" spans="1:24" ht="42" customHeight="1" thickTop="1" thickBot="1" x14ac:dyDescent="0.3">
      <c r="A39" s="102"/>
      <c r="B39" s="121"/>
      <c r="C39" s="123"/>
      <c r="D39" s="1"/>
      <c r="E39" s="129"/>
      <c r="F39" s="747" t="s">
        <v>389</v>
      </c>
      <c r="G39" s="747"/>
      <c r="H39" s="747"/>
      <c r="I39" s="130"/>
      <c r="J39" s="766"/>
      <c r="K39" s="767"/>
      <c r="L39" s="767"/>
      <c r="M39" s="131"/>
      <c r="N39" s="632"/>
      <c r="O39" s="632"/>
      <c r="P39" s="632"/>
      <c r="Q39" s="145"/>
      <c r="R39" s="710"/>
      <c r="S39" s="710"/>
      <c r="T39" s="710"/>
      <c r="U39" s="133"/>
      <c r="V39" s="585"/>
      <c r="W39" s="585"/>
      <c r="X39" s="585"/>
    </row>
    <row r="40" spans="1:24" ht="120" customHeight="1" thickTop="1" thickBot="1" x14ac:dyDescent="0.3">
      <c r="A40" s="102"/>
      <c r="B40" s="121"/>
      <c r="C40" s="123"/>
      <c r="D40" s="1"/>
      <c r="E40" s="168" t="s">
        <v>200</v>
      </c>
      <c r="F40" s="713"/>
      <c r="G40" s="713"/>
      <c r="H40" s="713"/>
      <c r="I40" s="168"/>
      <c r="J40" s="714"/>
      <c r="K40" s="715"/>
      <c r="L40" s="715"/>
      <c r="M40" s="168"/>
      <c r="N40" s="716"/>
      <c r="O40" s="717"/>
      <c r="P40" s="717"/>
      <c r="Q40" s="168"/>
      <c r="R40" s="711"/>
      <c r="S40" s="712"/>
      <c r="T40" s="712"/>
      <c r="U40" s="168"/>
      <c r="V40" s="605"/>
      <c r="W40" s="605"/>
      <c r="X40" s="605"/>
    </row>
    <row r="41" spans="1:24" ht="19" thickTop="1" thickBot="1" x14ac:dyDescent="0.3">
      <c r="A41" s="102" t="s">
        <v>75</v>
      </c>
      <c r="B41" s="121"/>
      <c r="C41" s="123"/>
      <c r="D41" s="1"/>
      <c r="E41" s="124"/>
      <c r="F41" s="741"/>
      <c r="G41" s="741"/>
      <c r="H41" s="741"/>
      <c r="I41" s="125"/>
      <c r="J41" s="742"/>
      <c r="K41" s="742"/>
      <c r="L41" s="742"/>
      <c r="M41" s="126"/>
      <c r="N41" s="743"/>
      <c r="O41" s="743"/>
      <c r="P41" s="743"/>
      <c r="Q41" s="127"/>
      <c r="R41" s="744"/>
      <c r="S41" s="744"/>
      <c r="T41" s="744"/>
      <c r="U41" s="128"/>
      <c r="V41" s="745"/>
      <c r="W41" s="745"/>
      <c r="X41" s="745"/>
    </row>
    <row r="42" spans="1:24" ht="42" customHeight="1" thickTop="1" thickBot="1" x14ac:dyDescent="0.3">
      <c r="A42" s="102"/>
      <c r="B42" s="121"/>
      <c r="C42" s="123"/>
      <c r="D42" s="1"/>
      <c r="E42" s="129"/>
      <c r="F42" s="747"/>
      <c r="G42" s="747"/>
      <c r="H42" s="747"/>
      <c r="I42" s="130"/>
      <c r="J42" s="766"/>
      <c r="K42" s="767"/>
      <c r="L42" s="767"/>
      <c r="M42" s="131"/>
      <c r="N42" s="632"/>
      <c r="O42" s="632"/>
      <c r="P42" s="632"/>
      <c r="Q42" s="145"/>
      <c r="R42" s="710"/>
      <c r="S42" s="710"/>
      <c r="T42" s="710"/>
      <c r="U42" s="133"/>
      <c r="V42" s="585"/>
      <c r="W42" s="585"/>
      <c r="X42" s="585"/>
    </row>
    <row r="43" spans="1:24" ht="120" customHeight="1" thickTop="1" thickBot="1" x14ac:dyDescent="0.3">
      <c r="A43" s="102"/>
      <c r="B43" s="121"/>
      <c r="C43" s="123"/>
      <c r="D43" s="1"/>
      <c r="E43" s="168"/>
      <c r="F43" s="713"/>
      <c r="G43" s="713"/>
      <c r="H43" s="713"/>
      <c r="I43" s="168"/>
      <c r="J43" s="714"/>
      <c r="K43" s="715"/>
      <c r="L43" s="715"/>
      <c r="M43" s="168"/>
      <c r="N43" s="716"/>
      <c r="O43" s="717"/>
      <c r="P43" s="717"/>
      <c r="Q43" s="168"/>
      <c r="R43" s="711"/>
      <c r="S43" s="712"/>
      <c r="T43" s="712"/>
      <c r="U43" s="168"/>
      <c r="V43" s="605"/>
      <c r="W43" s="605"/>
      <c r="X43" s="605"/>
    </row>
    <row r="44" spans="1:24" ht="19" thickTop="1" thickBot="1" x14ac:dyDescent="0.3">
      <c r="A44" s="102" t="s">
        <v>75</v>
      </c>
      <c r="B44" s="121"/>
      <c r="C44" s="123"/>
      <c r="D44" s="1"/>
      <c r="E44" s="124"/>
      <c r="F44" s="741"/>
      <c r="G44" s="741"/>
      <c r="H44" s="741"/>
      <c r="I44" s="142"/>
      <c r="J44" s="742"/>
      <c r="K44" s="742"/>
      <c r="L44" s="742"/>
      <c r="M44" s="126"/>
      <c r="N44" s="743"/>
      <c r="O44" s="743"/>
      <c r="P44" s="743"/>
      <c r="Q44" s="127"/>
      <c r="R44" s="744"/>
      <c r="S44" s="744"/>
      <c r="T44" s="744"/>
      <c r="U44" s="146"/>
      <c r="V44" s="745"/>
      <c r="W44" s="745"/>
      <c r="X44" s="745"/>
    </row>
    <row r="45" spans="1:24" ht="42" customHeight="1" thickTop="1" thickBot="1" x14ac:dyDescent="0.3">
      <c r="A45" s="102"/>
      <c r="B45" s="121"/>
      <c r="C45" s="123"/>
      <c r="D45" s="1"/>
      <c r="E45" s="129"/>
      <c r="F45" s="747"/>
      <c r="G45" s="747"/>
      <c r="H45" s="747"/>
      <c r="I45" s="130"/>
      <c r="J45" s="748"/>
      <c r="K45" s="749"/>
      <c r="L45" s="749"/>
      <c r="M45" s="131"/>
      <c r="N45" s="632"/>
      <c r="O45" s="632"/>
      <c r="P45" s="632"/>
      <c r="Q45" s="145"/>
      <c r="R45" s="710"/>
      <c r="S45" s="710"/>
      <c r="T45" s="710"/>
      <c r="U45" s="133"/>
      <c r="V45" s="585"/>
      <c r="W45" s="585"/>
      <c r="X45" s="585"/>
    </row>
    <row r="46" spans="1:24" ht="120" customHeight="1" thickTop="1" thickBot="1" x14ac:dyDescent="0.3">
      <c r="A46" s="102"/>
      <c r="B46" s="121"/>
      <c r="C46" s="123"/>
      <c r="D46" s="1"/>
      <c r="E46" s="168"/>
      <c r="F46" s="713"/>
      <c r="G46" s="713"/>
      <c r="H46" s="713"/>
      <c r="I46" s="168"/>
      <c r="J46" s="714"/>
      <c r="K46" s="715"/>
      <c r="L46" s="715"/>
      <c r="M46" s="168"/>
      <c r="N46" s="716"/>
      <c r="O46" s="717"/>
      <c r="P46" s="717"/>
      <c r="Q46" s="168"/>
      <c r="R46" s="711"/>
      <c r="S46" s="712"/>
      <c r="T46" s="712"/>
      <c r="U46" s="168"/>
      <c r="V46" s="605"/>
      <c r="W46" s="605"/>
      <c r="X46" s="605"/>
    </row>
    <row r="47" spans="1:24" ht="19" thickTop="1" thickBot="1" x14ac:dyDescent="0.3">
      <c r="A47" s="102"/>
      <c r="B47" s="121"/>
      <c r="C47" s="123"/>
      <c r="D47" s="1"/>
      <c r="E47" s="124"/>
      <c r="F47" s="741"/>
      <c r="G47" s="741"/>
      <c r="H47" s="741"/>
      <c r="I47" s="142"/>
      <c r="J47" s="742"/>
      <c r="K47" s="742"/>
      <c r="L47" s="742"/>
      <c r="M47" s="126"/>
      <c r="N47" s="743"/>
      <c r="O47" s="743"/>
      <c r="P47" s="743"/>
      <c r="Q47" s="127"/>
      <c r="R47" s="744"/>
      <c r="S47" s="744"/>
      <c r="T47" s="744"/>
      <c r="U47" s="146"/>
      <c r="V47" s="745"/>
      <c r="W47" s="745"/>
      <c r="X47" s="745"/>
    </row>
    <row r="48" spans="1:24" ht="16.5" thickTop="1" thickBot="1" x14ac:dyDescent="0.3">
      <c r="A48" s="102"/>
      <c r="B48" s="106"/>
      <c r="C48" s="105"/>
      <c r="D48" s="1"/>
      <c r="E48" s="116"/>
      <c r="F48" s="117"/>
      <c r="G48" s="118"/>
      <c r="H48" s="119"/>
      <c r="I48" s="116"/>
      <c r="J48" s="117"/>
      <c r="K48" s="118"/>
      <c r="L48" s="119"/>
      <c r="M48" s="116"/>
      <c r="N48" s="117"/>
      <c r="O48" s="118"/>
      <c r="P48" s="119"/>
      <c r="Q48" s="116"/>
      <c r="R48" s="117"/>
      <c r="S48" s="118"/>
      <c r="T48" s="119"/>
      <c r="U48" s="119"/>
      <c r="V48" s="119"/>
      <c r="W48" s="119"/>
      <c r="X48" s="119"/>
    </row>
    <row r="49" spans="2:24" ht="40.4" customHeight="1" thickTop="1" thickBot="1" x14ac:dyDescent="0.3">
      <c r="B49" s="106"/>
      <c r="C49" s="658" t="s">
        <v>228</v>
      </c>
      <c r="D49" s="1"/>
      <c r="E49" s="168" t="s">
        <v>200</v>
      </c>
      <c r="F49" s="769" t="s">
        <v>390</v>
      </c>
      <c r="G49" s="769"/>
      <c r="H49" s="147" t="s">
        <v>391</v>
      </c>
      <c r="I49" s="168" t="s">
        <v>200</v>
      </c>
      <c r="J49" s="770" t="s">
        <v>229</v>
      </c>
      <c r="K49" s="770"/>
      <c r="L49" s="148">
        <v>1</v>
      </c>
      <c r="M49" s="168" t="s">
        <v>200</v>
      </c>
      <c r="N49" s="771" t="s">
        <v>232</v>
      </c>
      <c r="O49" s="771"/>
      <c r="P49" s="163" t="s">
        <v>233</v>
      </c>
      <c r="Q49" s="168" t="s">
        <v>200</v>
      </c>
      <c r="R49" s="772" t="s">
        <v>230</v>
      </c>
      <c r="S49" s="772"/>
      <c r="T49" s="149" t="s">
        <v>231</v>
      </c>
      <c r="U49" s="168" t="s">
        <v>200</v>
      </c>
      <c r="V49" s="780" t="s">
        <v>234</v>
      </c>
      <c r="W49" s="780"/>
      <c r="X49" s="150" t="s">
        <v>231</v>
      </c>
    </row>
    <row r="50" spans="2:24" ht="40.4" customHeight="1" thickTop="1" thickBot="1" x14ac:dyDescent="0.3">
      <c r="B50" s="106"/>
      <c r="C50" s="659"/>
      <c r="D50" s="1"/>
      <c r="E50" s="168" t="s">
        <v>200</v>
      </c>
      <c r="F50" s="773" t="s">
        <v>392</v>
      </c>
      <c r="G50" s="773"/>
      <c r="H50" s="151" t="s">
        <v>393</v>
      </c>
      <c r="I50" s="168" t="s">
        <v>200</v>
      </c>
      <c r="J50" s="774" t="s">
        <v>235</v>
      </c>
      <c r="K50" s="774"/>
      <c r="L50" s="155">
        <v>0</v>
      </c>
      <c r="M50" s="168" t="s">
        <v>200</v>
      </c>
      <c r="N50" s="777" t="s">
        <v>394</v>
      </c>
      <c r="O50" s="775"/>
      <c r="P50" s="159">
        <v>45931</v>
      </c>
      <c r="Q50" s="168" t="s">
        <v>200</v>
      </c>
      <c r="R50" s="776" t="s">
        <v>236</v>
      </c>
      <c r="S50" s="776"/>
      <c r="T50" s="167" t="s">
        <v>237</v>
      </c>
      <c r="U50" s="168" t="s">
        <v>200</v>
      </c>
      <c r="V50" s="781" t="s">
        <v>238</v>
      </c>
      <c r="W50" s="781"/>
      <c r="X50" s="153" t="s">
        <v>239</v>
      </c>
    </row>
    <row r="51" spans="2:24" ht="51" thickTop="1" thickBot="1" x14ac:dyDescent="0.3">
      <c r="B51" s="106"/>
      <c r="C51" s="659"/>
      <c r="D51" s="1"/>
      <c r="E51" s="168" t="s">
        <v>200</v>
      </c>
      <c r="F51" s="773" t="s">
        <v>395</v>
      </c>
      <c r="G51" s="773"/>
      <c r="H51" s="154" t="s">
        <v>396</v>
      </c>
      <c r="I51" s="168" t="s">
        <v>200</v>
      </c>
      <c r="J51" s="774" t="s">
        <v>240</v>
      </c>
      <c r="K51" s="774"/>
      <c r="L51" s="155" t="s">
        <v>241</v>
      </c>
      <c r="M51" s="168" t="s">
        <v>200</v>
      </c>
      <c r="N51" s="775" t="s">
        <v>397</v>
      </c>
      <c r="O51" s="775"/>
      <c r="P51" s="157" t="s">
        <v>244</v>
      </c>
      <c r="Q51" s="168" t="s">
        <v>200</v>
      </c>
      <c r="R51" s="776" t="s">
        <v>242</v>
      </c>
      <c r="S51" s="776"/>
      <c r="T51" s="167" t="s">
        <v>243</v>
      </c>
      <c r="U51" s="168" t="s">
        <v>200</v>
      </c>
      <c r="V51" s="781" t="s">
        <v>245</v>
      </c>
      <c r="W51" s="781"/>
      <c r="X51" s="153" t="s">
        <v>239</v>
      </c>
    </row>
    <row r="52" spans="2:24" ht="45" thickTop="1" thickBot="1" x14ac:dyDescent="0.3">
      <c r="B52" s="106"/>
      <c r="C52" s="659"/>
      <c r="D52" s="1"/>
      <c r="E52" s="168" t="s">
        <v>200</v>
      </c>
      <c r="F52" s="773" t="s">
        <v>398</v>
      </c>
      <c r="G52" s="773"/>
      <c r="H52" s="151">
        <v>1</v>
      </c>
      <c r="I52" s="168" t="s">
        <v>200</v>
      </c>
      <c r="J52" s="774" t="s">
        <v>246</v>
      </c>
      <c r="K52" s="774"/>
      <c r="L52" s="155" t="s">
        <v>247</v>
      </c>
      <c r="M52" s="168" t="s">
        <v>200</v>
      </c>
      <c r="N52" s="775" t="s">
        <v>250</v>
      </c>
      <c r="O52" s="775"/>
      <c r="P52" s="157">
        <v>3</v>
      </c>
      <c r="Q52" s="168" t="s">
        <v>200</v>
      </c>
      <c r="R52" s="776" t="s">
        <v>248</v>
      </c>
      <c r="S52" s="776"/>
      <c r="T52" s="156" t="s">
        <v>249</v>
      </c>
      <c r="U52" s="168" t="s">
        <v>200</v>
      </c>
      <c r="V52" s="782" t="s">
        <v>251</v>
      </c>
      <c r="W52" s="782"/>
      <c r="X52" s="153" t="s">
        <v>239</v>
      </c>
    </row>
    <row r="53" spans="2:24" ht="40.4" customHeight="1" thickTop="1" thickBot="1" x14ac:dyDescent="0.3">
      <c r="B53" s="106"/>
      <c r="C53" s="659"/>
      <c r="D53" s="1"/>
      <c r="E53" s="168" t="s">
        <v>200</v>
      </c>
      <c r="F53" s="773" t="s">
        <v>399</v>
      </c>
      <c r="G53" s="773"/>
      <c r="H53" s="154" t="s">
        <v>400</v>
      </c>
      <c r="I53" s="168" t="s">
        <v>200</v>
      </c>
      <c r="J53" s="774" t="s">
        <v>252</v>
      </c>
      <c r="K53" s="774"/>
      <c r="L53" s="158">
        <v>1</v>
      </c>
      <c r="M53" s="168" t="s">
        <v>200</v>
      </c>
      <c r="N53" s="775" t="s">
        <v>254</v>
      </c>
      <c r="O53" s="775"/>
      <c r="P53" s="152">
        <v>-0.25</v>
      </c>
      <c r="Q53" s="168" t="s">
        <v>200</v>
      </c>
      <c r="R53" s="776" t="s">
        <v>253</v>
      </c>
      <c r="S53" s="776"/>
      <c r="T53" s="156">
        <v>1</v>
      </c>
      <c r="U53" s="168" t="s">
        <v>200</v>
      </c>
      <c r="V53" s="781" t="s">
        <v>255</v>
      </c>
      <c r="W53" s="781"/>
      <c r="X53" s="153" t="s">
        <v>239</v>
      </c>
    </row>
    <row r="54" spans="2:24" ht="45" thickTop="1" thickBot="1" x14ac:dyDescent="0.3">
      <c r="B54" s="106"/>
      <c r="C54" s="659"/>
      <c r="D54" s="1"/>
      <c r="E54" s="168" t="s">
        <v>200</v>
      </c>
      <c r="F54" s="773" t="s">
        <v>401</v>
      </c>
      <c r="G54" s="773"/>
      <c r="H54" s="151">
        <v>1</v>
      </c>
      <c r="I54" s="168" t="s">
        <v>200</v>
      </c>
      <c r="J54" s="774" t="s">
        <v>256</v>
      </c>
      <c r="K54" s="774"/>
      <c r="L54" s="162">
        <v>-0.5</v>
      </c>
      <c r="M54" s="168" t="s">
        <v>200</v>
      </c>
      <c r="N54" s="777" t="s">
        <v>259</v>
      </c>
      <c r="O54" s="775"/>
      <c r="P54" s="157" t="s">
        <v>260</v>
      </c>
      <c r="Q54" s="168" t="s">
        <v>200</v>
      </c>
      <c r="R54" s="776" t="s">
        <v>257</v>
      </c>
      <c r="S54" s="776"/>
      <c r="T54" s="156" t="s">
        <v>258</v>
      </c>
      <c r="U54" s="168" t="s">
        <v>200</v>
      </c>
      <c r="V54" s="781" t="s">
        <v>261</v>
      </c>
      <c r="W54" s="781"/>
      <c r="X54" s="153" t="s">
        <v>239</v>
      </c>
    </row>
    <row r="55" spans="2:24" ht="45" thickTop="1" thickBot="1" x14ac:dyDescent="0.3">
      <c r="B55" s="106"/>
      <c r="C55" s="659"/>
      <c r="D55" s="1"/>
      <c r="E55" s="168" t="s">
        <v>200</v>
      </c>
      <c r="F55" s="773" t="s">
        <v>402</v>
      </c>
      <c r="G55" s="773"/>
      <c r="H55" s="151" t="s">
        <v>403</v>
      </c>
      <c r="I55" s="168" t="s">
        <v>200</v>
      </c>
      <c r="J55" s="774" t="s">
        <v>262</v>
      </c>
      <c r="K55" s="774"/>
      <c r="L55" s="172" t="s">
        <v>263</v>
      </c>
      <c r="M55" s="168" t="s">
        <v>200</v>
      </c>
      <c r="N55" s="775" t="s">
        <v>266</v>
      </c>
      <c r="O55" s="775"/>
      <c r="P55" s="152">
        <v>0.5</v>
      </c>
      <c r="Q55" s="168" t="s">
        <v>200</v>
      </c>
      <c r="R55" s="776" t="s">
        <v>264</v>
      </c>
      <c r="S55" s="776"/>
      <c r="T55" s="156" t="s">
        <v>265</v>
      </c>
      <c r="U55" s="168" t="s">
        <v>200</v>
      </c>
      <c r="V55" s="783" t="s">
        <v>267</v>
      </c>
      <c r="W55" s="781"/>
      <c r="X55" s="175" t="s">
        <v>268</v>
      </c>
    </row>
    <row r="56" spans="2:24" ht="40.4" customHeight="1" thickTop="1" thickBot="1" x14ac:dyDescent="0.3">
      <c r="B56" s="106"/>
      <c r="C56" s="659"/>
      <c r="E56" s="168" t="s">
        <v>200</v>
      </c>
      <c r="F56" s="773" t="s">
        <v>404</v>
      </c>
      <c r="G56" s="773"/>
      <c r="H56" s="151" t="s">
        <v>405</v>
      </c>
      <c r="I56" s="168" t="s">
        <v>200</v>
      </c>
      <c r="J56" s="774" t="s">
        <v>269</v>
      </c>
      <c r="K56" s="774"/>
      <c r="L56" s="158" t="s">
        <v>270</v>
      </c>
      <c r="M56" s="168" t="s">
        <v>200</v>
      </c>
      <c r="N56" s="777" t="s">
        <v>273</v>
      </c>
      <c r="O56" s="775"/>
      <c r="P56" s="152" t="s">
        <v>274</v>
      </c>
      <c r="Q56" s="168" t="s">
        <v>200</v>
      </c>
      <c r="R56" s="776" t="s">
        <v>271</v>
      </c>
      <c r="S56" s="776"/>
      <c r="T56" s="156" t="s">
        <v>272</v>
      </c>
      <c r="U56" s="168" t="s">
        <v>200</v>
      </c>
      <c r="V56" s="781" t="s">
        <v>275</v>
      </c>
      <c r="W56" s="781"/>
      <c r="X56" s="153" t="s">
        <v>239</v>
      </c>
    </row>
    <row r="57" spans="2:24" ht="40.4" customHeight="1" thickTop="1" thickBot="1" x14ac:dyDescent="0.3">
      <c r="B57" s="106"/>
      <c r="C57" s="659"/>
      <c r="E57" s="168" t="s">
        <v>200</v>
      </c>
      <c r="F57" s="773" t="s">
        <v>406</v>
      </c>
      <c r="G57" s="773"/>
      <c r="H57" s="151" t="s">
        <v>407</v>
      </c>
      <c r="I57" s="168" t="s">
        <v>200</v>
      </c>
      <c r="J57" s="774" t="s">
        <v>276</v>
      </c>
      <c r="K57" s="774"/>
      <c r="L57" s="158" t="s">
        <v>277</v>
      </c>
      <c r="M57" s="168" t="s">
        <v>200</v>
      </c>
      <c r="N57" s="777" t="s">
        <v>279</v>
      </c>
      <c r="O57" s="775"/>
      <c r="P57" s="157">
        <v>750</v>
      </c>
      <c r="Q57" s="168" t="s">
        <v>200</v>
      </c>
      <c r="R57" s="778" t="s">
        <v>278</v>
      </c>
      <c r="S57" s="778"/>
      <c r="T57" s="156" t="s">
        <v>272</v>
      </c>
      <c r="U57" s="168" t="s">
        <v>200</v>
      </c>
      <c r="V57" s="783" t="s">
        <v>280</v>
      </c>
      <c r="W57" s="781"/>
      <c r="X57" s="153" t="s">
        <v>281</v>
      </c>
    </row>
    <row r="58" spans="2:24" ht="40.4" customHeight="1" thickTop="1" thickBot="1" x14ac:dyDescent="0.3">
      <c r="B58" s="106"/>
      <c r="C58" s="659"/>
      <c r="E58" s="168" t="s">
        <v>200</v>
      </c>
      <c r="F58" s="779" t="s">
        <v>408</v>
      </c>
      <c r="G58" s="773"/>
      <c r="H58" s="160" t="s">
        <v>409</v>
      </c>
      <c r="I58" s="168" t="s">
        <v>200</v>
      </c>
      <c r="J58" s="774" t="s">
        <v>282</v>
      </c>
      <c r="K58" s="774"/>
      <c r="L58" s="172" t="s">
        <v>283</v>
      </c>
      <c r="M58" s="168" t="s">
        <v>200</v>
      </c>
      <c r="N58" s="784" t="s">
        <v>286</v>
      </c>
      <c r="O58" s="785"/>
      <c r="P58" s="161">
        <v>45931</v>
      </c>
      <c r="Q58" s="168" t="s">
        <v>200</v>
      </c>
      <c r="R58" s="776" t="s">
        <v>284</v>
      </c>
      <c r="S58" s="776"/>
      <c r="T58" s="156" t="s">
        <v>285</v>
      </c>
      <c r="U58" s="168" t="s">
        <v>200</v>
      </c>
      <c r="V58" s="783" t="s">
        <v>287</v>
      </c>
      <c r="W58" s="781"/>
      <c r="X58" s="153" t="s">
        <v>288</v>
      </c>
    </row>
    <row r="59" spans="2:24" ht="40.4" customHeight="1" thickTop="1" thickBot="1" x14ac:dyDescent="0.3">
      <c r="B59" s="106"/>
      <c r="C59" s="659"/>
      <c r="E59" s="168" t="s">
        <v>200</v>
      </c>
      <c r="F59" s="779" t="s">
        <v>410</v>
      </c>
      <c r="G59" s="773"/>
      <c r="H59" s="160">
        <v>35</v>
      </c>
      <c r="I59" s="168" t="s">
        <v>200</v>
      </c>
      <c r="J59" s="774" t="s">
        <v>289</v>
      </c>
      <c r="K59" s="774"/>
      <c r="L59" s="176" t="s">
        <v>290</v>
      </c>
      <c r="M59" s="168" t="s">
        <v>200</v>
      </c>
      <c r="N59" s="777" t="s">
        <v>293</v>
      </c>
      <c r="O59" s="775"/>
      <c r="P59" s="161" t="s">
        <v>294</v>
      </c>
      <c r="Q59" s="168" t="s">
        <v>200</v>
      </c>
      <c r="R59" s="776" t="s">
        <v>291</v>
      </c>
      <c r="S59" s="776"/>
      <c r="T59" s="166" t="s">
        <v>292</v>
      </c>
      <c r="U59" s="168" t="s">
        <v>200</v>
      </c>
      <c r="V59" s="781" t="s">
        <v>295</v>
      </c>
      <c r="W59" s="781"/>
      <c r="X59" s="153" t="s">
        <v>296</v>
      </c>
    </row>
    <row r="60" spans="2:24" ht="40.4" customHeight="1" thickTop="1" thickBot="1" x14ac:dyDescent="0.3">
      <c r="B60" s="106"/>
      <c r="C60" s="659"/>
      <c r="E60" s="168" t="s">
        <v>200</v>
      </c>
      <c r="F60" s="779" t="s">
        <v>411</v>
      </c>
      <c r="G60" s="773"/>
      <c r="H60" s="160" t="s">
        <v>412</v>
      </c>
      <c r="M60" s="168" t="s">
        <v>200</v>
      </c>
      <c r="N60" s="777" t="s">
        <v>299</v>
      </c>
      <c r="O60" s="775"/>
      <c r="P60" s="161" t="s">
        <v>300</v>
      </c>
      <c r="Q60" s="168" t="s">
        <v>200</v>
      </c>
      <c r="R60" s="648" t="s">
        <v>297</v>
      </c>
      <c r="S60" s="649"/>
      <c r="T60" s="156" t="s">
        <v>298</v>
      </c>
      <c r="U60" s="168" t="s">
        <v>200</v>
      </c>
      <c r="V60" s="781" t="s">
        <v>301</v>
      </c>
      <c r="W60" s="781"/>
      <c r="X60" s="153" t="s">
        <v>302</v>
      </c>
    </row>
    <row r="61" spans="2:24" ht="40.4" customHeight="1" thickTop="1" thickBot="1" x14ac:dyDescent="0.3">
      <c r="B61" s="106"/>
      <c r="C61" s="660"/>
      <c r="E61" s="168" t="s">
        <v>200</v>
      </c>
      <c r="F61" s="779" t="s">
        <v>413</v>
      </c>
      <c r="G61" s="773"/>
      <c r="H61" s="160">
        <v>55</v>
      </c>
      <c r="J61" t="s">
        <v>200</v>
      </c>
      <c r="M61" s="168" t="s">
        <v>200</v>
      </c>
      <c r="N61" s="669" t="s">
        <v>304</v>
      </c>
      <c r="O61" s="675"/>
      <c r="P61" s="161" t="s">
        <v>305</v>
      </c>
      <c r="Q61" s="168" t="s">
        <v>200</v>
      </c>
      <c r="R61" s="164" t="s">
        <v>303</v>
      </c>
      <c r="S61" s="165"/>
      <c r="T61" s="156" t="s">
        <v>249</v>
      </c>
      <c r="U61" s="168" t="s">
        <v>200</v>
      </c>
      <c r="V61" s="783"/>
      <c r="W61" s="781"/>
      <c r="X61" s="153"/>
    </row>
    <row r="62" spans="2:24" ht="39.65" customHeight="1" thickTop="1" thickBot="1" x14ac:dyDescent="0.3">
      <c r="C62" s="29"/>
      <c r="E62" s="168" t="s">
        <v>200</v>
      </c>
      <c r="F62" s="779" t="s">
        <v>414</v>
      </c>
      <c r="G62" s="773"/>
      <c r="H62" s="170">
        <v>45931</v>
      </c>
      <c r="M62" s="168" t="s">
        <v>200</v>
      </c>
      <c r="N62" s="669" t="s">
        <v>307</v>
      </c>
      <c r="O62" s="675"/>
      <c r="P62" s="161" t="s">
        <v>308</v>
      </c>
      <c r="Q62" s="168" t="s">
        <v>200</v>
      </c>
      <c r="R62" s="164" t="s">
        <v>306</v>
      </c>
      <c r="S62" s="165"/>
      <c r="T62" s="156"/>
    </row>
    <row r="63" spans="2:24" ht="45.75" customHeight="1" thickTop="1" thickBot="1" x14ac:dyDescent="0.3">
      <c r="E63" s="168" t="s">
        <v>200</v>
      </c>
      <c r="F63" s="779" t="s">
        <v>415</v>
      </c>
      <c r="G63" s="773"/>
      <c r="H63" s="151" t="s">
        <v>416</v>
      </c>
      <c r="M63" s="168" t="s">
        <v>200</v>
      </c>
      <c r="N63" s="777" t="s">
        <v>309</v>
      </c>
      <c r="O63" s="775"/>
      <c r="P63" s="161" t="s">
        <v>310</v>
      </c>
    </row>
    <row r="64" spans="2:24" ht="45.75" customHeight="1" thickTop="1" thickBot="1" x14ac:dyDescent="0.3">
      <c r="E64" s="168" t="s">
        <v>200</v>
      </c>
      <c r="F64" s="779" t="s">
        <v>417</v>
      </c>
      <c r="G64" s="773"/>
      <c r="H64" s="170" t="s">
        <v>416</v>
      </c>
      <c r="M64" s="168" t="s">
        <v>200</v>
      </c>
      <c r="N64" s="777" t="s">
        <v>311</v>
      </c>
      <c r="O64" s="775"/>
      <c r="P64" s="161" t="s">
        <v>312</v>
      </c>
    </row>
    <row r="65" spans="5:16" ht="45.65" customHeight="1" thickTop="1" thickBot="1" x14ac:dyDescent="0.3">
      <c r="E65" s="168" t="s">
        <v>200</v>
      </c>
      <c r="F65" s="779" t="s">
        <v>418</v>
      </c>
      <c r="G65" s="773"/>
      <c r="H65" s="170" t="s">
        <v>419</v>
      </c>
      <c r="M65" s="168" t="s">
        <v>200</v>
      </c>
      <c r="N65" s="777" t="s">
        <v>313</v>
      </c>
      <c r="O65" s="775"/>
      <c r="P65" s="174" t="s">
        <v>314</v>
      </c>
    </row>
    <row r="66" spans="5:16" ht="45" thickTop="1" thickBot="1" x14ac:dyDescent="0.3">
      <c r="E66" s="168" t="s">
        <v>200</v>
      </c>
      <c r="F66" s="779" t="s">
        <v>420</v>
      </c>
      <c r="G66" s="773"/>
      <c r="H66" s="170" t="s">
        <v>421</v>
      </c>
    </row>
    <row r="67" spans="5:16" ht="45" thickTop="1" thickBot="1" x14ac:dyDescent="0.3">
      <c r="E67" s="168" t="s">
        <v>200</v>
      </c>
      <c r="F67" s="779" t="s">
        <v>422</v>
      </c>
      <c r="G67" s="773"/>
      <c r="H67" s="170" t="s">
        <v>419</v>
      </c>
    </row>
    <row r="68" spans="5:16" ht="45" thickTop="1" thickBot="1" x14ac:dyDescent="0.3">
      <c r="E68" s="168" t="s">
        <v>200</v>
      </c>
      <c r="F68" s="779" t="s">
        <v>423</v>
      </c>
      <c r="G68" s="773"/>
      <c r="H68" s="170" t="s">
        <v>424</v>
      </c>
    </row>
    <row r="69" spans="5:16" ht="45" thickTop="1" thickBot="1" x14ac:dyDescent="0.3">
      <c r="E69" s="168" t="s">
        <v>200</v>
      </c>
      <c r="F69" s="779" t="s">
        <v>425</v>
      </c>
      <c r="G69" s="773"/>
      <c r="H69" s="171" t="s">
        <v>426</v>
      </c>
    </row>
    <row r="70" spans="5:16" ht="45" thickTop="1" thickBot="1" x14ac:dyDescent="0.3">
      <c r="E70" s="168" t="s">
        <v>200</v>
      </c>
      <c r="F70" s="779" t="s">
        <v>427</v>
      </c>
      <c r="G70" s="773"/>
      <c r="H70" s="171" t="s">
        <v>428</v>
      </c>
    </row>
    <row r="71" spans="5:16" ht="45" thickTop="1" thickBot="1" x14ac:dyDescent="0.3">
      <c r="E71" s="168" t="s">
        <v>200</v>
      </c>
      <c r="F71" s="779" t="s">
        <v>429</v>
      </c>
      <c r="G71" s="773"/>
      <c r="H71" s="170" t="s">
        <v>430</v>
      </c>
    </row>
    <row r="72" spans="5:16" ht="45" thickTop="1" thickBot="1" x14ac:dyDescent="0.3">
      <c r="E72" s="168" t="s">
        <v>200</v>
      </c>
      <c r="F72" s="779" t="s">
        <v>431</v>
      </c>
      <c r="G72" s="773"/>
      <c r="H72" s="170" t="s">
        <v>430</v>
      </c>
    </row>
    <row r="73" spans="5:16" ht="45" thickTop="1" thickBot="1" x14ac:dyDescent="0.3">
      <c r="E73" s="168" t="s">
        <v>200</v>
      </c>
      <c r="F73" s="779" t="s">
        <v>432</v>
      </c>
      <c r="G73" s="773"/>
      <c r="H73" s="170" t="s">
        <v>433</v>
      </c>
    </row>
    <row r="74" spans="5:16" ht="45" thickTop="1" thickBot="1" x14ac:dyDescent="0.3">
      <c r="E74" s="168" t="s">
        <v>200</v>
      </c>
      <c r="F74" s="779" t="s">
        <v>434</v>
      </c>
      <c r="G74" s="773"/>
      <c r="H74" s="170" t="s">
        <v>433</v>
      </c>
    </row>
    <row r="75" spans="5:16" ht="45" thickTop="1" thickBot="1" x14ac:dyDescent="0.3">
      <c r="E75" s="168" t="s">
        <v>200</v>
      </c>
      <c r="F75" s="779" t="s">
        <v>435</v>
      </c>
      <c r="G75" s="773"/>
      <c r="H75" s="170" t="s">
        <v>433</v>
      </c>
    </row>
    <row r="76" spans="5:16" ht="45" thickTop="1" thickBot="1" x14ac:dyDescent="0.3">
      <c r="E76" s="168" t="s">
        <v>200</v>
      </c>
      <c r="F76" s="779" t="s">
        <v>436</v>
      </c>
      <c r="G76" s="773"/>
      <c r="H76" s="170" t="s">
        <v>433</v>
      </c>
    </row>
    <row r="140" spans="1:8" x14ac:dyDescent="0.25">
      <c r="A140" s="173" t="s">
        <v>315</v>
      </c>
    </row>
    <row r="141" spans="1:8" ht="14.5" hidden="1" x14ac:dyDescent="0.25">
      <c r="E141" s="786" t="s">
        <v>74</v>
      </c>
      <c r="F141" s="787"/>
      <c r="G141" s="788"/>
    </row>
    <row r="142" spans="1:8" ht="49.4" hidden="1" customHeight="1" thickBot="1" x14ac:dyDescent="0.3">
      <c r="E142" s="109" t="s">
        <v>200</v>
      </c>
      <c r="F142" s="188" t="s">
        <v>317</v>
      </c>
      <c r="G142" s="189" t="s">
        <v>318</v>
      </c>
      <c r="H142" s="168" t="s">
        <v>200</v>
      </c>
    </row>
    <row r="143" spans="1:8" ht="49.4" hidden="1" customHeight="1" thickBot="1" x14ac:dyDescent="0.3">
      <c r="E143" s="110" t="s">
        <v>319</v>
      </c>
      <c r="F143" s="190" t="s">
        <v>320</v>
      </c>
      <c r="G143" s="191" t="s">
        <v>320</v>
      </c>
      <c r="H143" s="168">
        <v>6</v>
      </c>
    </row>
    <row r="144" spans="1:8" ht="49.4" hidden="1" customHeight="1" thickBot="1" x14ac:dyDescent="0.4">
      <c r="E144" s="111" t="s">
        <v>28</v>
      </c>
      <c r="F144" s="192" t="s">
        <v>321</v>
      </c>
      <c r="G144" s="193" t="s">
        <v>322</v>
      </c>
      <c r="H144" s="168" t="s">
        <v>28</v>
      </c>
    </row>
    <row r="145" spans="5:8" ht="49.4" hidden="1" customHeight="1" thickBot="1" x14ac:dyDescent="0.3">
      <c r="E145" s="112" t="s">
        <v>44</v>
      </c>
      <c r="F145" s="194" t="s">
        <v>323</v>
      </c>
      <c r="G145" s="195" t="s">
        <v>324</v>
      </c>
      <c r="H145" s="168" t="s">
        <v>44</v>
      </c>
    </row>
    <row r="146" spans="5:8" ht="49.4" hidden="1" customHeight="1" thickBot="1" x14ac:dyDescent="0.3">
      <c r="E146" s="113" t="s">
        <v>32</v>
      </c>
      <c r="F146" s="196" t="s">
        <v>325</v>
      </c>
      <c r="G146" s="195" t="s">
        <v>326</v>
      </c>
      <c r="H146" s="168" t="s">
        <v>32</v>
      </c>
    </row>
    <row r="147" spans="5:8" ht="49.4" hidden="1" customHeight="1" thickBot="1" x14ac:dyDescent="0.3">
      <c r="E147" s="114" t="s">
        <v>327</v>
      </c>
      <c r="F147" s="47" t="s">
        <v>328</v>
      </c>
      <c r="G147" s="197" t="s">
        <v>329</v>
      </c>
      <c r="H147" s="168" t="s">
        <v>327</v>
      </c>
    </row>
  </sheetData>
  <mergeCells count="296">
    <mergeCell ref="F74:G74"/>
    <mergeCell ref="F75:G75"/>
    <mergeCell ref="F76:G76"/>
    <mergeCell ref="E141:G141"/>
    <mergeCell ref="F68:G68"/>
    <mergeCell ref="F69:G69"/>
    <mergeCell ref="F70:G70"/>
    <mergeCell ref="F71:G71"/>
    <mergeCell ref="F72:G72"/>
    <mergeCell ref="F73:G73"/>
    <mergeCell ref="V60:W60"/>
    <mergeCell ref="F64:G64"/>
    <mergeCell ref="N64:O64"/>
    <mergeCell ref="F65:G65"/>
    <mergeCell ref="N65:O65"/>
    <mergeCell ref="F66:G66"/>
    <mergeCell ref="F67:G67"/>
    <mergeCell ref="F61:G61"/>
    <mergeCell ref="N61:O61"/>
    <mergeCell ref="V61:W61"/>
    <mergeCell ref="F62:G62"/>
    <mergeCell ref="N62:O62"/>
    <mergeCell ref="F63:G63"/>
    <mergeCell ref="N63:O63"/>
    <mergeCell ref="V57:W57"/>
    <mergeCell ref="F58:G58"/>
    <mergeCell ref="J58:K58"/>
    <mergeCell ref="N58:O58"/>
    <mergeCell ref="R58:S58"/>
    <mergeCell ref="V58:W58"/>
    <mergeCell ref="F59:G59"/>
    <mergeCell ref="J59:K59"/>
    <mergeCell ref="N59:O59"/>
    <mergeCell ref="R59:S59"/>
    <mergeCell ref="V59:W59"/>
    <mergeCell ref="V54:W54"/>
    <mergeCell ref="F55:G55"/>
    <mergeCell ref="J55:K55"/>
    <mergeCell ref="N55:O55"/>
    <mergeCell ref="R55:S55"/>
    <mergeCell ref="V55:W55"/>
    <mergeCell ref="F56:G56"/>
    <mergeCell ref="J56:K56"/>
    <mergeCell ref="N56:O56"/>
    <mergeCell ref="R56:S56"/>
    <mergeCell ref="V56:W56"/>
    <mergeCell ref="V51:W51"/>
    <mergeCell ref="F52:G52"/>
    <mergeCell ref="J52:K52"/>
    <mergeCell ref="N52:O52"/>
    <mergeCell ref="R52:S52"/>
    <mergeCell ref="V52:W52"/>
    <mergeCell ref="F53:G53"/>
    <mergeCell ref="J53:K53"/>
    <mergeCell ref="N53:O53"/>
    <mergeCell ref="R53:S53"/>
    <mergeCell ref="V53:W53"/>
    <mergeCell ref="V49:W49"/>
    <mergeCell ref="F50:G50"/>
    <mergeCell ref="J50:K50"/>
    <mergeCell ref="N50:O50"/>
    <mergeCell ref="R50:S50"/>
    <mergeCell ref="V50:W50"/>
    <mergeCell ref="F47:H47"/>
    <mergeCell ref="J47:L47"/>
    <mergeCell ref="N47:P47"/>
    <mergeCell ref="R47:T47"/>
    <mergeCell ref="V47:X47"/>
    <mergeCell ref="C49:C61"/>
    <mergeCell ref="F49:G49"/>
    <mergeCell ref="J49:K49"/>
    <mergeCell ref="N49:O49"/>
    <mergeCell ref="R49:S49"/>
    <mergeCell ref="F45:H45"/>
    <mergeCell ref="J45:L45"/>
    <mergeCell ref="N45:P45"/>
    <mergeCell ref="R45:T45"/>
    <mergeCell ref="F51:G51"/>
    <mergeCell ref="J51:K51"/>
    <mergeCell ref="N51:O51"/>
    <mergeCell ref="R51:S51"/>
    <mergeCell ref="F54:G54"/>
    <mergeCell ref="J54:K54"/>
    <mergeCell ref="N54:O54"/>
    <mergeCell ref="R54:S54"/>
    <mergeCell ref="F57:G57"/>
    <mergeCell ref="J57:K57"/>
    <mergeCell ref="N57:O57"/>
    <mergeCell ref="R57:S57"/>
    <mergeCell ref="F60:G60"/>
    <mergeCell ref="N60:O60"/>
    <mergeCell ref="R60:S60"/>
    <mergeCell ref="F42:H42"/>
    <mergeCell ref="J42:L42"/>
    <mergeCell ref="N42:P42"/>
    <mergeCell ref="R42:T42"/>
    <mergeCell ref="V42:X42"/>
    <mergeCell ref="V45:X45"/>
    <mergeCell ref="F46:H46"/>
    <mergeCell ref="J46:L46"/>
    <mergeCell ref="N46:P46"/>
    <mergeCell ref="R46:T46"/>
    <mergeCell ref="V46:X46"/>
    <mergeCell ref="F43:H43"/>
    <mergeCell ref="J43:L43"/>
    <mergeCell ref="N43:P43"/>
    <mergeCell ref="R43:T43"/>
    <mergeCell ref="V43:X43"/>
    <mergeCell ref="F44:H44"/>
    <mergeCell ref="J44:L44"/>
    <mergeCell ref="N44:P44"/>
    <mergeCell ref="R44:T44"/>
    <mergeCell ref="V44:X44"/>
    <mergeCell ref="F40:H40"/>
    <mergeCell ref="J40:L40"/>
    <mergeCell ref="N40:P40"/>
    <mergeCell ref="R40:T40"/>
    <mergeCell ref="V40:X40"/>
    <mergeCell ref="F41:H41"/>
    <mergeCell ref="J41:L41"/>
    <mergeCell ref="N41:P41"/>
    <mergeCell ref="R41:T41"/>
    <mergeCell ref="V41:X41"/>
    <mergeCell ref="F38:H38"/>
    <mergeCell ref="J38:L38"/>
    <mergeCell ref="N38:P38"/>
    <mergeCell ref="R38:T38"/>
    <mergeCell ref="V38:X38"/>
    <mergeCell ref="F39:H39"/>
    <mergeCell ref="J39:L39"/>
    <mergeCell ref="N39:P39"/>
    <mergeCell ref="R39:T39"/>
    <mergeCell ref="V39:X39"/>
    <mergeCell ref="F36:H36"/>
    <mergeCell ref="J36:L36"/>
    <mergeCell ref="N36:P36"/>
    <mergeCell ref="R36:T36"/>
    <mergeCell ref="V36:X36"/>
    <mergeCell ref="F37:H37"/>
    <mergeCell ref="J37:L37"/>
    <mergeCell ref="N37:P37"/>
    <mergeCell ref="R37:T37"/>
    <mergeCell ref="V37:X37"/>
    <mergeCell ref="F34:H34"/>
    <mergeCell ref="J34:L34"/>
    <mergeCell ref="N34:P34"/>
    <mergeCell ref="R34:T34"/>
    <mergeCell ref="V34:X34"/>
    <mergeCell ref="F35:H35"/>
    <mergeCell ref="J35:L35"/>
    <mergeCell ref="N35:P35"/>
    <mergeCell ref="R35:T35"/>
    <mergeCell ref="V35:X35"/>
    <mergeCell ref="F32:H32"/>
    <mergeCell ref="J32:L32"/>
    <mergeCell ref="N32:P32"/>
    <mergeCell ref="R32:T32"/>
    <mergeCell ref="V32:X32"/>
    <mergeCell ref="F33:H33"/>
    <mergeCell ref="J33:L33"/>
    <mergeCell ref="N33:P33"/>
    <mergeCell ref="R33:T33"/>
    <mergeCell ref="V33:X33"/>
    <mergeCell ref="F30:H30"/>
    <mergeCell ref="J30:L30"/>
    <mergeCell ref="N30:P30"/>
    <mergeCell ref="R30:T30"/>
    <mergeCell ref="V30:X30"/>
    <mergeCell ref="F31:H31"/>
    <mergeCell ref="J31:L31"/>
    <mergeCell ref="N31:P31"/>
    <mergeCell ref="R31:T31"/>
    <mergeCell ref="V31:X31"/>
    <mergeCell ref="F28:H28"/>
    <mergeCell ref="J28:L28"/>
    <mergeCell ref="N28:P28"/>
    <mergeCell ref="R28:T28"/>
    <mergeCell ref="V28:X28"/>
    <mergeCell ref="F29:H29"/>
    <mergeCell ref="J29:L29"/>
    <mergeCell ref="N29:P29"/>
    <mergeCell ref="R29:T29"/>
    <mergeCell ref="V29:X29"/>
    <mergeCell ref="R25:T25"/>
    <mergeCell ref="V25:X25"/>
    <mergeCell ref="F26:H26"/>
    <mergeCell ref="J26:L26"/>
    <mergeCell ref="N26:P26"/>
    <mergeCell ref="R26:T26"/>
    <mergeCell ref="V26:X26"/>
    <mergeCell ref="F27:H27"/>
    <mergeCell ref="J27:L27"/>
    <mergeCell ref="N27:P27"/>
    <mergeCell ref="R27:T27"/>
    <mergeCell ref="V27:X27"/>
    <mergeCell ref="V22:X22"/>
    <mergeCell ref="F23:H23"/>
    <mergeCell ref="J23:L23"/>
    <mergeCell ref="N23:P23"/>
    <mergeCell ref="R23:T23"/>
    <mergeCell ref="V23:X23"/>
    <mergeCell ref="F24:H24"/>
    <mergeCell ref="J24:L24"/>
    <mergeCell ref="N24:P24"/>
    <mergeCell ref="R24:T24"/>
    <mergeCell ref="V24:X24"/>
    <mergeCell ref="V19:X19"/>
    <mergeCell ref="F20:H20"/>
    <mergeCell ref="J20:L20"/>
    <mergeCell ref="N20:P20"/>
    <mergeCell ref="R20:T20"/>
    <mergeCell ref="V20:X20"/>
    <mergeCell ref="F21:H21"/>
    <mergeCell ref="J21:L21"/>
    <mergeCell ref="N21:P21"/>
    <mergeCell ref="V21:X21"/>
    <mergeCell ref="V16:X16"/>
    <mergeCell ref="F17:H17"/>
    <mergeCell ref="J17:L17"/>
    <mergeCell ref="N17:P17"/>
    <mergeCell ref="R17:T17"/>
    <mergeCell ref="V17:X17"/>
    <mergeCell ref="F18:H18"/>
    <mergeCell ref="J18:L18"/>
    <mergeCell ref="N18:P18"/>
    <mergeCell ref="V18:X18"/>
    <mergeCell ref="V13:X13"/>
    <mergeCell ref="F14:H14"/>
    <mergeCell ref="J14:L14"/>
    <mergeCell ref="N14:P14"/>
    <mergeCell ref="R14:T14"/>
    <mergeCell ref="V14:X14"/>
    <mergeCell ref="C12:C38"/>
    <mergeCell ref="F12:H12"/>
    <mergeCell ref="J12:L12"/>
    <mergeCell ref="N12:P12"/>
    <mergeCell ref="R12:T12"/>
    <mergeCell ref="V12:X12"/>
    <mergeCell ref="F13:H13"/>
    <mergeCell ref="J13:L13"/>
    <mergeCell ref="N13:P13"/>
    <mergeCell ref="R13:T13"/>
    <mergeCell ref="F15:H15"/>
    <mergeCell ref="J15:L15"/>
    <mergeCell ref="N15:P15"/>
    <mergeCell ref="R15:T15"/>
    <mergeCell ref="V15:X15"/>
    <mergeCell ref="F16:H16"/>
    <mergeCell ref="J16:L16"/>
    <mergeCell ref="N16:P16"/>
    <mergeCell ref="U9:X9"/>
    <mergeCell ref="E10:H10"/>
    <mergeCell ref="I10:L10"/>
    <mergeCell ref="M10:P10"/>
    <mergeCell ref="Q10:T10"/>
    <mergeCell ref="U10:X10"/>
    <mergeCell ref="U7:X7"/>
    <mergeCell ref="E8:H8"/>
    <mergeCell ref="I8:L8"/>
    <mergeCell ref="M8:P8"/>
    <mergeCell ref="Q8:T8"/>
    <mergeCell ref="U8:X8"/>
    <mergeCell ref="B7:B38"/>
    <mergeCell ref="C7:C8"/>
    <mergeCell ref="E7:H7"/>
    <mergeCell ref="I7:L7"/>
    <mergeCell ref="M7:P7"/>
    <mergeCell ref="Q7:T7"/>
    <mergeCell ref="E9:H9"/>
    <mergeCell ref="I9:L9"/>
    <mergeCell ref="M9:P9"/>
    <mergeCell ref="Q9:T9"/>
    <mergeCell ref="R18:T18"/>
    <mergeCell ref="R16:T16"/>
    <mergeCell ref="R21:T21"/>
    <mergeCell ref="F19:H19"/>
    <mergeCell ref="J19:L19"/>
    <mergeCell ref="N19:P19"/>
    <mergeCell ref="R19:T19"/>
    <mergeCell ref="F22:H22"/>
    <mergeCell ref="J22:L22"/>
    <mergeCell ref="N22:P22"/>
    <mergeCell ref="R22:T22"/>
    <mergeCell ref="F25:H25"/>
    <mergeCell ref="J25:L25"/>
    <mergeCell ref="N25:P25"/>
    <mergeCell ref="B2:L2"/>
    <mergeCell ref="P2:R2"/>
    <mergeCell ref="V2:W2"/>
    <mergeCell ref="B4:C5"/>
    <mergeCell ref="E4:K4"/>
    <mergeCell ref="L4:Q4"/>
    <mergeCell ref="R4:X4"/>
    <mergeCell ref="E5:K5"/>
    <mergeCell ref="L5:Q5"/>
    <mergeCell ref="R5:X5"/>
  </mergeCells>
  <conditionalFormatting sqref="C48 E48:L48 Q48:Y48">
    <cfRule type="expression" dxfId="39" priority="37">
      <formula>IF(#REF!&lt;#REF!,1,0)</formula>
    </cfRule>
  </conditionalFormatting>
  <conditionalFormatting sqref="E13 I13 M13 Q13 U13 E16 I16 M16 Q16 U16 E19 I19 M19 Q19 U19 E22 I22 M22 Q22 U22 E25 I25 M25 Q25 U25 E31 I31 M31 Q31 U31 E34 I34 M34 Q34 U34 E37 I37 M37 Q37 U37 E40 I40 M40 Q40 U40 E43 I43 M43 Q43 U43 E46 I46 M46 Q46 U46 I49:I59 U49:U61 Q49:Q62 M49:M65 E49:E76 H142:H147">
    <cfRule type="cellIs" dxfId="38" priority="9" operator="equal">
      <formula>$H$147</formula>
    </cfRule>
    <cfRule type="cellIs" dxfId="37" priority="10" operator="equal">
      <formula>$H$146</formula>
    </cfRule>
    <cfRule type="cellIs" dxfId="36" priority="11" operator="equal">
      <formula>$H$145</formula>
    </cfRule>
    <cfRule type="cellIs" dxfId="35" priority="12" operator="equal">
      <formula>$H$144</formula>
    </cfRule>
    <cfRule type="cellIs" dxfId="34" priority="13" operator="equal">
      <formula>$H$143</formula>
    </cfRule>
    <cfRule type="cellIs" dxfId="33" priority="14" operator="equal">
      <formula>$H$142</formula>
    </cfRule>
  </conditionalFormatting>
  <conditionalFormatting sqref="E17">
    <cfRule type="expression" dxfId="32" priority="27">
      <formula>IF(#REF!&lt;#REF!,1,0)</formula>
    </cfRule>
  </conditionalFormatting>
  <conditionalFormatting sqref="E20">
    <cfRule type="expression" dxfId="31" priority="29">
      <formula>IF(#REF!&lt;#REF!,1,0)</formula>
    </cfRule>
  </conditionalFormatting>
  <conditionalFormatting sqref="E23">
    <cfRule type="expression" dxfId="30" priority="30">
      <formula>IF(#REF!&lt;#REF!,1,0)</formula>
    </cfRule>
  </conditionalFormatting>
  <conditionalFormatting sqref="E26">
    <cfRule type="expression" dxfId="29" priority="31">
      <formula>IF(#REF!&lt;#REF!,1,0)</formula>
    </cfRule>
  </conditionalFormatting>
  <conditionalFormatting sqref="E32">
    <cfRule type="expression" dxfId="28" priority="32">
      <formula>IF(#REF!&lt;#REF!,1,0)</formula>
    </cfRule>
  </conditionalFormatting>
  <conditionalFormatting sqref="E35">
    <cfRule type="expression" dxfId="27" priority="33">
      <formula>IF(#REF!&lt;#REF!,1,0)</formula>
    </cfRule>
  </conditionalFormatting>
  <conditionalFormatting sqref="E38 E41 E44 E47">
    <cfRule type="expression" dxfId="26" priority="34">
      <formula>IF(#REF!&lt;#REF!,1,0)</formula>
    </cfRule>
  </conditionalFormatting>
  <conditionalFormatting sqref="E14:H14">
    <cfRule type="expression" dxfId="25" priority="28">
      <formula>IF(#REF!&lt;#REF!,1,0)</formula>
    </cfRule>
  </conditionalFormatting>
  <conditionalFormatting sqref="F13:H13">
    <cfRule type="expression" dxfId="24" priority="40">
      <formula>IF(#REF!&lt;#REF!,1,0)</formula>
    </cfRule>
  </conditionalFormatting>
  <conditionalFormatting sqref="F16:H16">
    <cfRule type="expression" dxfId="23" priority="26">
      <formula>IF(#REF!&lt;#REF!,1,0)</formula>
    </cfRule>
  </conditionalFormatting>
  <conditionalFormatting sqref="F19:H19">
    <cfRule type="expression" dxfId="22" priority="25">
      <formula>IF(#REF!&lt;#REF!,1,0)</formula>
    </cfRule>
  </conditionalFormatting>
  <conditionalFormatting sqref="F22:H22">
    <cfRule type="expression" dxfId="21" priority="24">
      <formula>IF(#REF!&lt;#REF!,1,0)</formula>
    </cfRule>
  </conditionalFormatting>
  <conditionalFormatting sqref="F25:H25">
    <cfRule type="expression" dxfId="20" priority="23">
      <formula>IF(#REF!&lt;#REF!,1,0)</formula>
    </cfRule>
  </conditionalFormatting>
  <conditionalFormatting sqref="F31:H31">
    <cfRule type="expression" dxfId="19" priority="22">
      <formula>IF(#REF!&lt;#REF!,1,0)</formula>
    </cfRule>
  </conditionalFormatting>
  <conditionalFormatting sqref="F34:H34">
    <cfRule type="expression" dxfId="18" priority="21">
      <formula>IF(#REF!&lt;#REF!,1,0)</formula>
    </cfRule>
  </conditionalFormatting>
  <conditionalFormatting sqref="F37:H37">
    <cfRule type="expression" dxfId="17" priority="20">
      <formula>IF(#REF!&lt;#REF!,1,0)</formula>
    </cfRule>
  </conditionalFormatting>
  <conditionalFormatting sqref="F40:H40">
    <cfRule type="expression" dxfId="16" priority="8">
      <formula>IF(#REF!&lt;#REF!,1,0)</formula>
    </cfRule>
  </conditionalFormatting>
  <conditionalFormatting sqref="F43:H43">
    <cfRule type="expression" dxfId="15" priority="7">
      <formula>IF(#REF!&lt;#REF!,1,0)</formula>
    </cfRule>
  </conditionalFormatting>
  <conditionalFormatting sqref="F46:H46">
    <cfRule type="expression" dxfId="14" priority="15">
      <formula>IF(#REF!&lt;#REF!,1,0)</formula>
    </cfRule>
  </conditionalFormatting>
  <conditionalFormatting sqref="R13:T13">
    <cfRule type="expression" dxfId="12" priority="39">
      <formula>IF(#REF!&lt;#REF!,1,0)</formula>
    </cfRule>
  </conditionalFormatting>
  <conditionalFormatting sqref="R16:T16">
    <cfRule type="expression" dxfId="11" priority="19">
      <formula>IF(#REF!&lt;#REF!,1,0)</formula>
    </cfRule>
  </conditionalFormatting>
  <conditionalFormatting sqref="R19:T19">
    <cfRule type="expression" dxfId="10" priority="18">
      <formula>IF(#REF!&lt;#REF!,1,0)</formula>
    </cfRule>
  </conditionalFormatting>
  <conditionalFormatting sqref="R22:T22">
    <cfRule type="expression" dxfId="9" priority="6">
      <formula>IF(#REF!&lt;#REF!,1,0)</formula>
    </cfRule>
  </conditionalFormatting>
  <conditionalFormatting sqref="R25:T25">
    <cfRule type="expression" dxfId="8" priority="5">
      <formula>IF(#REF!&lt;#REF!,1,0)</formula>
    </cfRule>
  </conditionalFormatting>
  <conditionalFormatting sqref="R31:T31">
    <cfRule type="expression" dxfId="7" priority="4">
      <formula>IF(#REF!&lt;#REF!,1,0)</formula>
    </cfRule>
  </conditionalFormatting>
  <conditionalFormatting sqref="R34:T34">
    <cfRule type="expression" dxfId="6" priority="3">
      <formula>IF(#REF!&lt;#REF!,1,0)</formula>
    </cfRule>
  </conditionalFormatting>
  <conditionalFormatting sqref="R37:T37">
    <cfRule type="expression" dxfId="5" priority="2">
      <formula>IF(#REF!&lt;#REF!,1,0)</formula>
    </cfRule>
  </conditionalFormatting>
  <conditionalFormatting sqref="R40:T40">
    <cfRule type="expression" dxfId="4" priority="1">
      <formula>IF(#REF!&lt;#REF!,1,0)</formula>
    </cfRule>
  </conditionalFormatting>
  <conditionalFormatting sqref="R43:T43">
    <cfRule type="expression" dxfId="3" priority="17">
      <formula>IF(#REF!&lt;#REF!,1,0)</formula>
    </cfRule>
  </conditionalFormatting>
  <conditionalFormatting sqref="R46:T46">
    <cfRule type="expression" dxfId="2" priority="16">
      <formula>IF(#REF!&lt;#REF!,1,0)</formula>
    </cfRule>
  </conditionalFormatting>
  <conditionalFormatting sqref="AB13">
    <cfRule type="expression" dxfId="1" priority="36">
      <formula>IF(#REF!&lt;#REF!,1,0)</formula>
    </cfRule>
  </conditionalFormatting>
  <conditionalFormatting sqref="AB18:AB19">
    <cfRule type="expression" dxfId="0" priority="35">
      <formula>IF(#REF!&lt;#REF!,1,0)</formula>
    </cfRule>
  </conditionalFormatting>
  <printOptions horizontalCentered="1" verticalCentered="1"/>
  <pageMargins left="0" right="0" top="0" bottom="0" header="0.31496062992125984" footer="0.31496062992125984"/>
  <pageSetup paperSize="9" scale="42" orientation="landscape" r:id="rId1"/>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38" id="{7A0E7776-CE91-4F63-ADE1-9756388B26A5}">
            <xm:f>IF('3.4'!$J$8:$K$9&lt;#REF!,1,0)</xm:f>
            <x14:dxf>
              <fill>
                <patternFill>
                  <bgColor rgb="FFFF0000"/>
                </patternFill>
              </fill>
            </x14:dxf>
          </x14:cfRule>
          <xm:sqref>M48:P48</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6">
    <tabColor rgb="FF00B0F0"/>
  </sheetPr>
  <dimension ref="B3:K30"/>
  <sheetViews>
    <sheetView topLeftCell="A3" workbookViewId="0">
      <selection activeCell="B8" sqref="B8"/>
    </sheetView>
  </sheetViews>
  <sheetFormatPr defaultColWidth="8.54296875" defaultRowHeight="12.5" x14ac:dyDescent="0.25"/>
  <cols>
    <col min="2" max="2" width="8.1796875" customWidth="1"/>
    <col min="3" max="3" width="21.54296875" bestFit="1" customWidth="1"/>
    <col min="4" max="4" width="44" customWidth="1"/>
  </cols>
  <sheetData>
    <row r="3" spans="2:11" ht="14.5" x14ac:dyDescent="0.35">
      <c r="B3" s="676" t="s">
        <v>16</v>
      </c>
      <c r="C3" s="677"/>
      <c r="D3" s="678"/>
    </row>
    <row r="4" spans="2:11" ht="34.5" customHeight="1" thickBot="1" x14ac:dyDescent="0.3">
      <c r="B4" s="679" t="s">
        <v>74</v>
      </c>
      <c r="C4" s="680"/>
      <c r="D4" s="681"/>
    </row>
    <row r="5" spans="2:11" ht="14.5" x14ac:dyDescent="0.25">
      <c r="B5" s="205">
        <v>0</v>
      </c>
      <c r="C5" s="206" t="s">
        <v>437</v>
      </c>
      <c r="D5" s="207" t="s">
        <v>437</v>
      </c>
      <c r="E5" s="7" t="s">
        <v>200</v>
      </c>
    </row>
    <row r="6" spans="2:11" ht="36.75" customHeight="1" x14ac:dyDescent="0.25">
      <c r="B6" s="33">
        <v>1</v>
      </c>
      <c r="C6" s="48" t="s">
        <v>438</v>
      </c>
      <c r="D6" s="34" t="s">
        <v>438</v>
      </c>
      <c r="E6" s="7" t="s">
        <v>439</v>
      </c>
    </row>
    <row r="7" spans="2:11" ht="58.5" x14ac:dyDescent="0.35">
      <c r="B7" s="41">
        <v>4</v>
      </c>
      <c r="C7" s="192" t="s">
        <v>25</v>
      </c>
      <c r="D7" s="193" t="s">
        <v>440</v>
      </c>
      <c r="E7" s="36" t="s">
        <v>327</v>
      </c>
      <c r="F7" s="37" t="s">
        <v>327</v>
      </c>
      <c r="H7" s="7" t="s">
        <v>441</v>
      </c>
    </row>
    <row r="8" spans="2:11" ht="87" x14ac:dyDescent="0.35">
      <c r="B8" s="38">
        <v>3</v>
      </c>
      <c r="C8" s="194" t="s">
        <v>26</v>
      </c>
      <c r="D8" s="193" t="s">
        <v>442</v>
      </c>
      <c r="E8" s="39" t="s">
        <v>443</v>
      </c>
      <c r="F8" s="7" t="s">
        <v>443</v>
      </c>
      <c r="H8" s="7" t="s">
        <v>443</v>
      </c>
      <c r="J8" s="44" t="s">
        <v>444</v>
      </c>
      <c r="K8" s="45" t="s">
        <v>443</v>
      </c>
    </row>
    <row r="9" spans="2:11" ht="60" x14ac:dyDescent="1.1499999999999999">
      <c r="B9" s="35">
        <v>2</v>
      </c>
      <c r="C9" s="196" t="s">
        <v>29</v>
      </c>
      <c r="D9" s="193" t="s">
        <v>445</v>
      </c>
      <c r="E9" s="36" t="s">
        <v>56</v>
      </c>
      <c r="F9" s="37" t="s">
        <v>56</v>
      </c>
      <c r="H9" s="7" t="s">
        <v>446</v>
      </c>
      <c r="J9" s="43" t="s">
        <v>447</v>
      </c>
    </row>
    <row r="10" spans="2:11" ht="52.5" customHeight="1" thickBot="1" x14ac:dyDescent="0.3">
      <c r="B10" s="46">
        <v>5</v>
      </c>
      <c r="C10" s="47" t="s">
        <v>30</v>
      </c>
      <c r="D10" s="197" t="s">
        <v>448</v>
      </c>
      <c r="E10" s="37" t="s">
        <v>327</v>
      </c>
      <c r="F10" s="37" t="s">
        <v>327</v>
      </c>
      <c r="H10" s="7" t="s">
        <v>441</v>
      </c>
    </row>
    <row r="11" spans="2:11" ht="87" x14ac:dyDescent="0.35">
      <c r="B11" s="38">
        <v>3</v>
      </c>
      <c r="C11" s="194" t="s">
        <v>26</v>
      </c>
      <c r="D11" s="193" t="s">
        <v>442</v>
      </c>
      <c r="E11" s="39" t="s">
        <v>443</v>
      </c>
      <c r="F11" s="7" t="s">
        <v>443</v>
      </c>
      <c r="H11" s="7" t="s">
        <v>443</v>
      </c>
      <c r="J11" s="44" t="s">
        <v>444</v>
      </c>
      <c r="K11" s="45" t="s">
        <v>443</v>
      </c>
    </row>
    <row r="12" spans="2:11" ht="58.5" x14ac:dyDescent="0.35">
      <c r="B12" s="41">
        <v>4</v>
      </c>
      <c r="C12" s="192" t="s">
        <v>25</v>
      </c>
      <c r="D12" s="193" t="s">
        <v>440</v>
      </c>
      <c r="E12" s="36" t="s">
        <v>327</v>
      </c>
      <c r="F12" s="37" t="s">
        <v>327</v>
      </c>
      <c r="H12" s="7" t="s">
        <v>441</v>
      </c>
    </row>
    <row r="13" spans="2:11" ht="52.5" customHeight="1" thickBot="1" x14ac:dyDescent="0.3">
      <c r="B13" s="46">
        <v>5</v>
      </c>
      <c r="C13" s="47" t="s">
        <v>30</v>
      </c>
      <c r="D13" s="197" t="s">
        <v>448</v>
      </c>
      <c r="E13" s="37" t="s">
        <v>327</v>
      </c>
      <c r="F13" s="37" t="s">
        <v>327</v>
      </c>
      <c r="H13" s="7" t="s">
        <v>441</v>
      </c>
    </row>
    <row r="17" spans="2:3" ht="13" thickBot="1" x14ac:dyDescent="0.3">
      <c r="B17" s="789" t="s">
        <v>449</v>
      </c>
      <c r="C17" s="789"/>
    </row>
    <row r="18" spans="2:3" ht="14.5" x14ac:dyDescent="0.25">
      <c r="B18" s="208" t="s">
        <v>439</v>
      </c>
      <c r="C18" s="209" t="s">
        <v>437</v>
      </c>
    </row>
    <row r="19" spans="2:3" ht="14.5" x14ac:dyDescent="0.25">
      <c r="B19" s="41">
        <v>4</v>
      </c>
      <c r="C19" s="202" t="s">
        <v>25</v>
      </c>
    </row>
    <row r="20" spans="2:3" ht="14.5" x14ac:dyDescent="0.25">
      <c r="B20" s="38">
        <v>3</v>
      </c>
      <c r="C20" s="210" t="s">
        <v>26</v>
      </c>
    </row>
    <row r="21" spans="2:3" ht="15" thickBot="1" x14ac:dyDescent="0.3">
      <c r="B21" s="42">
        <v>2</v>
      </c>
      <c r="C21" s="211" t="s">
        <v>29</v>
      </c>
    </row>
    <row r="26" spans="2:3" ht="13" thickBot="1" x14ac:dyDescent="0.3">
      <c r="B26" s="789" t="s">
        <v>450</v>
      </c>
      <c r="C26" s="789"/>
    </row>
    <row r="27" spans="2:3" ht="14.5" x14ac:dyDescent="0.25">
      <c r="B27" s="208" t="s">
        <v>439</v>
      </c>
      <c r="C27" s="212" t="s">
        <v>437</v>
      </c>
    </row>
    <row r="28" spans="2:3" ht="14.5" x14ac:dyDescent="0.25">
      <c r="B28" s="35">
        <v>2</v>
      </c>
      <c r="C28" s="204" t="s">
        <v>29</v>
      </c>
    </row>
    <row r="29" spans="2:3" ht="14.5" x14ac:dyDescent="0.25">
      <c r="B29" s="38">
        <v>3</v>
      </c>
      <c r="C29" s="203" t="s">
        <v>26</v>
      </c>
    </row>
    <row r="30" spans="2:3" ht="15" thickBot="1" x14ac:dyDescent="0.3">
      <c r="B30" s="40">
        <v>4</v>
      </c>
      <c r="C30" s="213" t="s">
        <v>25</v>
      </c>
    </row>
  </sheetData>
  <mergeCells count="4">
    <mergeCell ref="B3:D3"/>
    <mergeCell ref="B4:D4"/>
    <mergeCell ref="B17:C17"/>
    <mergeCell ref="B26:C26"/>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2">
    <tabColor rgb="FF00B0F0"/>
  </sheetPr>
  <dimension ref="B3:C11"/>
  <sheetViews>
    <sheetView workbookViewId="0">
      <selection activeCell="B8" sqref="B8"/>
    </sheetView>
  </sheetViews>
  <sheetFormatPr defaultColWidth="8.54296875" defaultRowHeight="12.5" x14ac:dyDescent="0.25"/>
  <cols>
    <col min="2" max="2" width="8.1796875" customWidth="1"/>
    <col min="3" max="3" width="30.453125" bestFit="1" customWidth="1"/>
  </cols>
  <sheetData>
    <row r="3" spans="2:3" ht="14.5" x14ac:dyDescent="0.35">
      <c r="B3" s="676" t="s">
        <v>16</v>
      </c>
      <c r="C3" s="678"/>
    </row>
    <row r="4" spans="2:3" ht="34.5" customHeight="1" thickBot="1" x14ac:dyDescent="0.3">
      <c r="B4" s="679" t="s">
        <v>74</v>
      </c>
      <c r="C4" s="681"/>
    </row>
    <row r="5" spans="2:3" ht="14.5" x14ac:dyDescent="0.35">
      <c r="B5" s="214">
        <v>1</v>
      </c>
      <c r="C5" s="215" t="s">
        <v>451</v>
      </c>
    </row>
    <row r="6" spans="2:3" ht="14.5" x14ac:dyDescent="0.35">
      <c r="B6" s="18">
        <v>2</v>
      </c>
      <c r="C6" s="19" t="s">
        <v>438</v>
      </c>
    </row>
    <row r="7" spans="2:3" ht="14.5" x14ac:dyDescent="0.35">
      <c r="B7" s="20">
        <v>3</v>
      </c>
      <c r="C7" s="216" t="s">
        <v>452</v>
      </c>
    </row>
    <row r="8" spans="2:3" ht="14.5" x14ac:dyDescent="0.35">
      <c r="B8" s="21">
        <v>4</v>
      </c>
      <c r="C8" s="216" t="s">
        <v>453</v>
      </c>
    </row>
    <row r="9" spans="2:3" ht="14.5" x14ac:dyDescent="0.35">
      <c r="B9" s="22">
        <v>5</v>
      </c>
      <c r="C9" s="19" t="s">
        <v>454</v>
      </c>
    </row>
    <row r="10" spans="2:3" ht="14.5" x14ac:dyDescent="0.35">
      <c r="B10" s="23">
        <v>6</v>
      </c>
      <c r="C10" s="216" t="s">
        <v>455</v>
      </c>
    </row>
    <row r="11" spans="2:3" ht="15" thickBot="1" x14ac:dyDescent="0.4">
      <c r="B11" s="24">
        <v>7</v>
      </c>
      <c r="C11" s="217" t="s">
        <v>456</v>
      </c>
    </row>
  </sheetData>
  <mergeCells count="2">
    <mergeCell ref="B3:C3"/>
    <mergeCell ref="B4:C4"/>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2:D9"/>
  <sheetViews>
    <sheetView workbookViewId="0">
      <selection activeCell="L43" sqref="L43"/>
    </sheetView>
  </sheetViews>
  <sheetFormatPr defaultColWidth="8.54296875" defaultRowHeight="12.5" x14ac:dyDescent="0.25"/>
  <cols>
    <col min="1" max="1" width="14.453125" customWidth="1"/>
    <col min="2" max="2" width="19" customWidth="1"/>
    <col min="3" max="3" width="3.453125" customWidth="1"/>
    <col min="4" max="4" width="17.54296875" customWidth="1"/>
  </cols>
  <sheetData>
    <row r="2" spans="1:4" x14ac:dyDescent="0.25">
      <c r="A2" s="7" t="s">
        <v>457</v>
      </c>
    </row>
    <row r="4" spans="1:4" x14ac:dyDescent="0.25">
      <c r="B4" s="7" t="s">
        <v>458</v>
      </c>
      <c r="C4" s="7"/>
      <c r="D4" s="7" t="s">
        <v>459</v>
      </c>
    </row>
    <row r="5" spans="1:4" x14ac:dyDescent="0.25">
      <c r="A5" s="7" t="s">
        <v>460</v>
      </c>
      <c r="B5" s="49" t="s">
        <v>461</v>
      </c>
      <c r="C5" s="7"/>
      <c r="D5" s="50" t="s">
        <v>462</v>
      </c>
    </row>
    <row r="6" spans="1:4" x14ac:dyDescent="0.25">
      <c r="A6" s="7" t="s">
        <v>463</v>
      </c>
      <c r="B6" s="51" t="s">
        <v>464</v>
      </c>
      <c r="C6" s="7"/>
      <c r="D6" s="52" t="s">
        <v>465</v>
      </c>
    </row>
    <row r="7" spans="1:4" x14ac:dyDescent="0.25">
      <c r="A7" s="7" t="s">
        <v>466</v>
      </c>
      <c r="B7" s="54" t="s">
        <v>467</v>
      </c>
      <c r="C7" s="7"/>
      <c r="D7" s="53" t="s">
        <v>468</v>
      </c>
    </row>
    <row r="8" spans="1:4" x14ac:dyDescent="0.25">
      <c r="A8" s="7" t="s">
        <v>469</v>
      </c>
      <c r="B8" s="56" t="s">
        <v>470</v>
      </c>
      <c r="C8" s="7"/>
      <c r="D8" s="55" t="s">
        <v>471</v>
      </c>
    </row>
    <row r="9" spans="1:4" x14ac:dyDescent="0.25">
      <c r="A9" s="7" t="s">
        <v>472</v>
      </c>
      <c r="B9" s="57" t="s">
        <v>473</v>
      </c>
      <c r="C9" s="7"/>
      <c r="D9" s="58" t="s">
        <v>474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A663E26D9C9364BBBCB84E86C6B4803" ma:contentTypeVersion="3" ma:contentTypeDescription="Crie um novo documento." ma:contentTypeScope="" ma:versionID="8145ebe2e403337cee60f2cd191eccb5">
  <xsd:schema xmlns:xsd="http://www.w3.org/2001/XMLSchema" xmlns:xs="http://www.w3.org/2001/XMLSchema" xmlns:p="http://schemas.microsoft.com/office/2006/metadata/properties" xmlns:ns2="9374f2ca-cebd-40d0-9c5a-cc8effbf4061" targetNamespace="http://schemas.microsoft.com/office/2006/metadata/properties" ma:root="true" ma:fieldsID="0dd2024efa76eb84807d9f247456a7b6" ns2:_="">
    <xsd:import namespace="9374f2ca-cebd-40d0-9c5a-cc8effbf406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74f2ca-cebd-40d0-9c5a-cc8effbf40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501C706-F3E5-4637-A701-99EAE9DEC99C}">
  <ds:schemaRefs>
    <ds:schemaRef ds:uri="http://schemas.microsoft.com/office/infopath/2007/PartnerControls"/>
    <ds:schemaRef ds:uri="http://purl.org/dc/elements/1.1/"/>
    <ds:schemaRef ds:uri="http://schemas.openxmlformats.org/package/2006/metadata/core-properties"/>
    <ds:schemaRef ds:uri="9374f2ca-cebd-40d0-9c5a-cc8effbf4061"/>
    <ds:schemaRef ds:uri="http://purl.org/dc/dcmitype/"/>
    <ds:schemaRef ds:uri="http://purl.org/dc/terms/"/>
    <ds:schemaRef ds:uri="http://schemas.microsoft.com/office/2006/documentManagement/typ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B567936C-45D9-438F-8DBC-38FE7CB9610F}">
  <ds:schemaRefs>
    <ds:schemaRef ds:uri="http://schemas.microsoft.com/sharepoint/v3/contenttype/forms"/>
  </ds:schemaRefs>
</ds:datastoreItem>
</file>

<file path=customXml/itemProps3.xml><?xml version="1.0" encoding="utf-8"?>
<ds:datastoreItem xmlns:ds="http://schemas.openxmlformats.org/officeDocument/2006/customXml" ds:itemID="{15761B64-9490-487E-AB6C-ACFABD53E03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74f2ca-cebd-40d0-9c5a-cc8effbf40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15</vt:i4>
      </vt:variant>
      <vt:variant>
        <vt:lpstr>Intervalos Nomeados</vt:lpstr>
      </vt:variant>
      <vt:variant>
        <vt:i4>11</vt:i4>
      </vt:variant>
    </vt:vector>
  </HeadingPairs>
  <TitlesOfParts>
    <vt:vector size="26" baseType="lpstr">
      <vt:lpstr>1.5</vt:lpstr>
      <vt:lpstr>2.4</vt:lpstr>
      <vt:lpstr>2.5</vt:lpstr>
      <vt:lpstr>3.3 (2)</vt:lpstr>
      <vt:lpstr>3.4</vt:lpstr>
      <vt:lpstr>3.5</vt:lpstr>
      <vt:lpstr>5.3</vt:lpstr>
      <vt:lpstr>5.4</vt:lpstr>
      <vt:lpstr>5.5</vt:lpstr>
      <vt:lpstr>HOSHIN 2026_EXIMIA</vt:lpstr>
      <vt:lpstr>LEGENDA</vt:lpstr>
      <vt:lpstr>HOSHIN 2026 (2)</vt:lpstr>
      <vt:lpstr>Supporting Data mid</vt:lpstr>
      <vt:lpstr>Supporting Data old</vt:lpstr>
      <vt:lpstr>Colors</vt:lpstr>
      <vt:lpstr>'1.5'!Area_de_impressao</vt:lpstr>
      <vt:lpstr>'2.4'!Area_de_impressao</vt:lpstr>
      <vt:lpstr>'2.5'!Area_de_impressao</vt:lpstr>
      <vt:lpstr>'3.3 (2)'!Area_de_impressao</vt:lpstr>
      <vt:lpstr>'3.4'!Area_de_impressao</vt:lpstr>
      <vt:lpstr>'3.5'!Area_de_impressao</vt:lpstr>
      <vt:lpstr>'5.3'!Area_de_impressao</vt:lpstr>
      <vt:lpstr>'5.4'!Area_de_impressao</vt:lpstr>
      <vt:lpstr>'5.5'!Area_de_impressao</vt:lpstr>
      <vt:lpstr>'HOSHIN 2026 (2)'!Area_de_impressao</vt:lpstr>
      <vt:lpstr>'HOSHIN 2026_EXIMIA'!Area_de_impressao</vt:lpstr>
    </vt:vector>
  </TitlesOfParts>
  <Manager/>
  <Company>ARGOS CONSULTORIA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Rinaldo A. Capitelli</dc:creator>
  <cp:keywords/>
  <dc:description/>
  <cp:lastModifiedBy>Hugo F. Capitelli</cp:lastModifiedBy>
  <cp:revision/>
  <dcterms:created xsi:type="dcterms:W3CDTF">2014-11-10T16:05:53Z</dcterms:created>
  <dcterms:modified xsi:type="dcterms:W3CDTF">2026-01-14T11:56:22Z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0x0101003A663E26D9C9364BBBCB84E86C6B4803</vt:lpwstr>
  </property>
  <property fmtid="{D5CDD505-2E9C-101B-9397-08002B2CF9AE}" pid="3" name="MediaServiceImageTags">
    <vt:lpwstr/>
  </property>
</Properties>
</file>